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ctions" sheetId="1" state="visible" r:id="rId3"/>
    <sheet name="BIZ Budget" sheetId="2" state="visible" r:id="rId4"/>
    <sheet name="PERSONAL Budget" sheetId="3" state="visible" r:id="rId5"/>
    <sheet name="Dashboard" sheetId="4" state="visible" r:id="rId6"/>
    <sheet name="Payment Calendar" sheetId="5" state="visible" r:id="rId7"/>
    <sheet name="Forecast" sheetId="6" state="visible" r:id="rId8"/>
    <sheet name="DB Schema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<sst xmlns="http://schemas.openxmlformats.org/spreadsheetml/2006/main" count="783" uniqueCount="320">
  <si>
    <t xml:space="preserve">KelliWorks Budget Framework — Developer Reference Guide</t>
  </si>
  <si>
    <t xml:space="preserve">CONFIDENTIAL  |  kelli@kelliworks.com  |  v1.0</t>
  </si>
  <si>
    <t xml:space="preserve">COLOR CODING LEGEND</t>
  </si>
  <si>
    <t xml:space="preserve">Blue text</t>
  </si>
  <si>
    <t xml:space="preserve">Hardcoded inputs — cells users / Kelli will manually edit</t>
  </si>
  <si>
    <t xml:space="preserve">Black text</t>
  </si>
  <si>
    <t xml:space="preserve">Calculated formulas — DO NOT hardcode these</t>
  </si>
  <si>
    <t xml:space="preserve">Green text</t>
  </si>
  <si>
    <t xml:space="preserve">Cross-sheet links pulling from another tab in this workbook</t>
  </si>
  <si>
    <t xml:space="preserve">Navy header</t>
  </si>
  <si>
    <t xml:space="preserve">Section / column headers</t>
  </si>
  <si>
    <t xml:space="preserve">Gold header</t>
  </si>
  <si>
    <t xml:space="preserve">Sub-section accent headers</t>
  </si>
  <si>
    <t xml:space="preserve">Light blue row</t>
  </si>
  <si>
    <t xml:space="preserve">Business budget section rows</t>
  </si>
  <si>
    <t xml:space="preserve">Light gold row</t>
  </si>
  <si>
    <t xml:space="preserve">Personal budget section rows</t>
  </si>
  <si>
    <t xml:space="preserve">Green cell bg</t>
  </si>
  <si>
    <t xml:space="preserve">On-track / cleared payment</t>
  </si>
  <si>
    <t xml:space="preserve">Red cell bg</t>
  </si>
  <si>
    <t xml:space="preserve">Overdue / flagged item</t>
  </si>
  <si>
    <t xml:space="preserve">Yellow cell</t>
  </si>
  <si>
    <t xml:space="preserve">Needs attention / placeholder to update</t>
  </si>
  <si>
    <t xml:space="preserve">WORKBOOK TAB GUIDE</t>
  </si>
  <si>
    <t xml:space="preserve">BIZ Budget</t>
  </si>
  <si>
    <t xml:space="preserve">All recurring business expenses and subscriptions. One row per vendor. Includes category, amount, due date, payment account, auto-pay flag.</t>
  </si>
  <si>
    <t xml:space="preserve">PERSONAL Budget</t>
  </si>
  <si>
    <t xml:space="preserve">All recurring personal expenses. Same structure as BIZ Budget. Categories overlap intentionally for cross-comparison in Dashboard.</t>
  </si>
  <si>
    <t xml:space="preserve">Dashboard</t>
  </si>
  <si>
    <t xml:space="preserve">Combined summary view. Auto-calculates totals from BIZ and PERSONAL tabs. Entrepreneur sees full picture here.</t>
  </si>
  <si>
    <t xml:space="preserve">Payment Calendar</t>
  </si>
  <si>
    <t xml:space="preserve">Monthly grid showing every bill's due date by week. Color-coded by account. Payment forecast for cash-flow planning.</t>
  </si>
  <si>
    <t xml:space="preserve">Forecast</t>
  </si>
  <si>
    <t xml:space="preserve">Rolling 3-month forward view. Shows cumulative cash outflows by week. Helps client anticipate cash needs.</t>
  </si>
  <si>
    <t xml:space="preserve">DB Schema</t>
  </si>
  <si>
    <t xml:space="preserve">Database field definitions for backend developer. Column names, data types, constraints, and notes for Supabase table design.</t>
  </si>
  <si>
    <t xml:space="preserve">FIELD DEFINITIONS (applies to BIZ Budget and PERSONAL Budget tabs)</t>
  </si>
  <si>
    <t xml:space="preserve">Field Name (DB Column)</t>
  </si>
  <si>
    <t xml:space="preserve">Data Type</t>
  </si>
  <si>
    <t xml:space="preserve">Required?</t>
  </si>
  <si>
    <t xml:space="preserve">Description</t>
  </si>
  <si>
    <t xml:space="preserve">vendor_name</t>
  </si>
  <si>
    <t xml:space="preserve">Text</t>
  </si>
  <si>
    <t xml:space="preserve">Required</t>
  </si>
  <si>
    <t xml:space="preserve">The biller/vendor name. Client-editable.</t>
  </si>
  <si>
    <t xml:space="preserve">category</t>
  </si>
  <si>
    <t xml:space="preserve">Expense category (see Category List below). Enables cross-tab comparison.</t>
  </si>
  <si>
    <t xml:space="preserve">subcategory</t>
  </si>
  <si>
    <t xml:space="preserve">Optional</t>
  </si>
  <si>
    <t xml:space="preserve">More specific grouping within a category.</t>
  </si>
  <si>
    <t xml:space="preserve">budget_amount</t>
  </si>
  <si>
    <t xml:space="preserve">Currency</t>
  </si>
  <si>
    <t xml:space="preserve">Expected monthly cost. Blue input field.</t>
  </si>
  <si>
    <t xml:space="preserve">actual_amount</t>
  </si>
  <si>
    <t xml:space="preserve">Formula</t>
  </si>
  <si>
    <t xml:space="preserve">Pulled from Plaid transaction match. Auto-updates.</t>
  </si>
  <si>
    <t xml:space="preserve">variance_amt</t>
  </si>
  <si>
    <t xml:space="preserve"> =actual - budget. negative = over budget.</t>
  </si>
  <si>
    <t xml:space="preserve">variance_pct</t>
  </si>
  <si>
    <t xml:space="preserve">Percent</t>
  </si>
  <si>
    <t xml:space="preserve"> =variance / budget. color-coded threshold &gt;15%.</t>
  </si>
  <si>
    <t xml:space="preserve">frequency</t>
  </si>
  <si>
    <t xml:space="preserve">Monthly / Quarterly / Annual / One-Time / Weekly</t>
  </si>
  <si>
    <t xml:space="preserve">due_day</t>
  </si>
  <si>
    <t xml:space="preserve">Integer</t>
  </si>
  <si>
    <t xml:space="preserve">Day of month payment is due (1–31). Drives Payment Calendar.</t>
  </si>
  <si>
    <t xml:space="preserve">due_week</t>
  </si>
  <si>
    <t xml:space="preserve">Week of month (1–4). Used for weekly-pay items.</t>
  </si>
  <si>
    <t xml:space="preserve">payment_account</t>
  </si>
  <si>
    <t xml:space="preserve">Account the payment draws from (e.g., DISCOVER, OZK, Chase).</t>
  </si>
  <si>
    <t xml:space="preserve">auto_pay</t>
  </si>
  <si>
    <t xml:space="preserve">Boolean</t>
  </si>
  <si>
    <t xml:space="preserve">Yes = ACH / auto-charge. No = manual payment required.</t>
  </si>
  <si>
    <t xml:space="preserve">status</t>
  </si>
  <si>
    <t xml:space="preserve">Active / Cancel / Pending / Seasonal</t>
  </si>
  <si>
    <t xml:space="preserve">alert_threshold</t>
  </si>
  <si>
    <t xml:space="preserve">Override default 15% fluctuation alert. Leave blank = use default.</t>
  </si>
  <si>
    <t xml:space="preserve">notes</t>
  </si>
  <si>
    <t xml:space="preserve">Free-form notes (e.g., 'PIF annually', 'Cancel by Sept 18').</t>
  </si>
  <si>
    <t xml:space="preserve">STANDARD CATEGORY LIST  (same names used in both BIZ and PERSONAL tabs for Dashboard comparison)</t>
  </si>
  <si>
    <t xml:space="preserve">BUSINESS CATEGORIES</t>
  </si>
  <si>
    <t xml:space="preserve">PERSONAL CATEGORIES</t>
  </si>
  <si>
    <t xml:space="preserve">Software &amp; Subscriptions</t>
  </si>
  <si>
    <t xml:space="preserve">Housing</t>
  </si>
  <si>
    <t xml:space="preserve">Insurance</t>
  </si>
  <si>
    <t xml:space="preserve">Utilities &amp; Internet</t>
  </si>
  <si>
    <t xml:space="preserve">Staffing &amp; Contractors</t>
  </si>
  <si>
    <t xml:space="preserve">Food &amp; Groceries</t>
  </si>
  <si>
    <t xml:space="preserve">Rent &amp; Facilities</t>
  </si>
  <si>
    <t xml:space="preserve">Health &amp; Fitness</t>
  </si>
  <si>
    <t xml:space="preserve">Marketing &amp; Advertising</t>
  </si>
  <si>
    <t xml:space="preserve">Accounting &amp; Finance</t>
  </si>
  <si>
    <t xml:space="preserve">Children</t>
  </si>
  <si>
    <t xml:space="preserve">Communications</t>
  </si>
  <si>
    <t xml:space="preserve">Entertainment</t>
  </si>
  <si>
    <t xml:space="preserve">Banking &amp; Payments</t>
  </si>
  <si>
    <t xml:space="preserve">Transportation</t>
  </si>
  <si>
    <t xml:space="preserve">Professional Development</t>
  </si>
  <si>
    <t xml:space="preserve">Savings &amp; Investments</t>
  </si>
  <si>
    <t xml:space="preserve">Health &amp; Wellness</t>
  </si>
  <si>
    <t xml:space="preserve">Personal Care</t>
  </si>
  <si>
    <t xml:space="preserve">Storage</t>
  </si>
  <si>
    <t xml:space="preserve">Charity</t>
  </si>
  <si>
    <t xml:space="preserve">Miscellaneous (Biz)</t>
  </si>
  <si>
    <t xml:space="preserve">Miscellaneous (Personal)</t>
  </si>
  <si>
    <t xml:space="preserve">KelliWorks — Business Budget — [Client Name] — [Month Year]</t>
  </si>
  <si>
    <t xml:space="preserve">Blue = editable input  |  Black = formula  |  Green = cross-sheet link  |  Status: Active / Cancel / Pending / Seasonal</t>
  </si>
  <si>
    <t xml:space="preserve">MONTHLY TOTAL →</t>
  </si>
  <si>
    <t xml:space="preserve">#</t>
  </si>
  <si>
    <t xml:space="preserve">Vendor / Description</t>
  </si>
  <si>
    <t xml:space="preserve">Category</t>
  </si>
  <si>
    <t xml:space="preserve">Budget Amount ($)</t>
  </si>
  <si>
    <t xml:space="preserve">Actual Amount ($)</t>
  </si>
  <si>
    <t xml:space="preserve">Variance ($)</t>
  </si>
  <si>
    <t xml:space="preserve">Variance (%)</t>
  </si>
  <si>
    <t xml:space="preserve">Frequency</t>
  </si>
  <si>
    <t xml:space="preserve">Due Day</t>
  </si>
  <si>
    <t xml:space="preserve">Due Week</t>
  </si>
  <si>
    <t xml:space="preserve">Payment Account</t>
  </si>
  <si>
    <t xml:space="preserve">Auto Pay</t>
  </si>
  <si>
    <t xml:space="preserve">Status</t>
  </si>
  <si>
    <t xml:space="preserve">Notes</t>
  </si>
  <si>
    <t xml:space="preserve">  Software &amp; Subscriptions</t>
  </si>
  <si>
    <t xml:space="preserve">[Accounting Software]</t>
  </si>
  <si>
    <t xml:space="preserve">Monthly</t>
  </si>
  <si>
    <t xml:space="preserve">1</t>
  </si>
  <si>
    <t xml:space="preserve">[Business Card]</t>
  </si>
  <si>
    <t xml:space="preserve">Yes</t>
  </si>
  <si>
    <t xml:space="preserve">Active</t>
  </si>
  <si>
    <t xml:space="preserve">[Project Mgmt Tool]</t>
  </si>
  <si>
    <t xml:space="preserve">15</t>
  </si>
  <si>
    <t xml:space="preserve">[CRM Platform]</t>
  </si>
  <si>
    <t xml:space="preserve">[Communication Tool]</t>
  </si>
  <si>
    <t xml:space="preserve">No</t>
  </si>
  <si>
    <t xml:space="preserve">  Insurance</t>
  </si>
  <si>
    <t xml:space="preserve">[Liability Insurance]</t>
  </si>
  <si>
    <t xml:space="preserve">30</t>
  </si>
  <si>
    <t xml:space="preserve">[Business Checking]</t>
  </si>
  <si>
    <t xml:space="preserve">[Cyber Insurance]</t>
  </si>
  <si>
    <t xml:space="preserve">11</t>
  </si>
  <si>
    <t xml:space="preserve">  Staffing &amp; Contractors</t>
  </si>
  <si>
    <t xml:space="preserve">[Bookkeeper]</t>
  </si>
  <si>
    <t xml:space="preserve">[Executive Assistant]</t>
  </si>
  <si>
    <t xml:space="preserve">[Intern]</t>
  </si>
  <si>
    <t xml:space="preserve">  Rent &amp; Facilities</t>
  </si>
  <si>
    <t xml:space="preserve">[Office Rent]</t>
  </si>
  <si>
    <t xml:space="preserve">[Storage Unit]</t>
  </si>
  <si>
    <t xml:space="preserve">  Marketing &amp; Advertising</t>
  </si>
  <si>
    <t xml:space="preserve">[Ad Platform]</t>
  </si>
  <si>
    <t xml:space="preserve">[Design Tool]</t>
  </si>
  <si>
    <t xml:space="preserve">21</t>
  </si>
  <si>
    <t xml:space="preserve">  Communications</t>
  </si>
  <si>
    <t xml:space="preserve">[Mobile Phone]</t>
  </si>
  <si>
    <t xml:space="preserve">[Cloud Storage]</t>
  </si>
  <si>
    <t xml:space="preserve">GRAND TOTAL</t>
  </si>
  <si>
    <t xml:space="preserve">KelliWorks — Personal Budget — [Client Name] — [Month Year]</t>
  </si>
  <si>
    <t xml:space="preserve">  Housing</t>
  </si>
  <si>
    <t xml:space="preserve">[Landlord / Mortgage]</t>
  </si>
  <si>
    <t xml:space="preserve">[Personal Checking]</t>
  </si>
  <si>
    <t xml:space="preserve">[Utilities - Electric]</t>
  </si>
  <si>
    <t xml:space="preserve">  Food &amp; Groceries</t>
  </si>
  <si>
    <t xml:space="preserve">[Grocery Store]</t>
  </si>
  <si>
    <t xml:space="preserve">Weekly</t>
  </si>
  <si>
    <t xml:space="preserve">[Personal Card]</t>
  </si>
  <si>
    <t xml:space="preserve">~$200/week</t>
  </si>
  <si>
    <t xml:space="preserve">[Dining Out]</t>
  </si>
  <si>
    <t xml:space="preserve">  Health &amp; Fitness</t>
  </si>
  <si>
    <t xml:space="preserve">[Gym Membership]</t>
  </si>
  <si>
    <t xml:space="preserve">3</t>
  </si>
  <si>
    <t xml:space="preserve">[Personal Debit]</t>
  </si>
  <si>
    <t xml:space="preserve">[Fitness Platform]</t>
  </si>
  <si>
    <t xml:space="preserve">[Life Insurance]</t>
  </si>
  <si>
    <t xml:space="preserve">27</t>
  </si>
  <si>
    <t xml:space="preserve">[Disability Insurance]</t>
  </si>
  <si>
    <t xml:space="preserve">  Children</t>
  </si>
  <si>
    <t xml:space="preserve">[Children Expenses - Misc]</t>
  </si>
  <si>
    <t xml:space="preserve">[Dental / Orthodontics]</t>
  </si>
  <si>
    <t xml:space="preserve">4</t>
  </si>
  <si>
    <t xml:space="preserve">  Savings &amp; Investments</t>
  </si>
  <si>
    <t xml:space="preserve">[Investment Contribution]</t>
  </si>
  <si>
    <t xml:space="preserve">[Savings/Investment]</t>
  </si>
  <si>
    <t xml:space="preserve">$375/week</t>
  </si>
  <si>
    <t xml:space="preserve">[Savings Transfer]</t>
  </si>
  <si>
    <t xml:space="preserve">[Savings]</t>
  </si>
  <si>
    <t xml:space="preserve">  Transportation</t>
  </si>
  <si>
    <t xml:space="preserve">[Driver / Car Service]</t>
  </si>
  <si>
    <t xml:space="preserve">  Personal Care</t>
  </si>
  <si>
    <t xml:space="preserve">[Personal Care - Misc]</t>
  </si>
  <si>
    <t xml:space="preserve">  Entertainment &amp; Subscriptions</t>
  </si>
  <si>
    <t xml:space="preserve">[Streaming Service]</t>
  </si>
  <si>
    <t xml:space="preserve">[Memberships]</t>
  </si>
  <si>
    <t xml:space="preserve">KelliWorks — Financial Dashboard  |  Business + Personal Combined View</t>
  </si>
  <si>
    <t xml:space="preserve">Auto-calculated from BIZ Budget and PERSONAL Budget tabs</t>
  </si>
  <si>
    <t xml:space="preserve">BIZ Monthly Budget</t>
  </si>
  <si>
    <t xml:space="preserve">BIZ Actual (MTD)</t>
  </si>
  <si>
    <t xml:space="preserve">PERSONAL Monthly Budget</t>
  </si>
  <si>
    <t xml:space="preserve">PERSONAL Actual (MTD)</t>
  </si>
  <si>
    <t xml:space="preserve">COMBINED Budget</t>
  </si>
  <si>
    <t xml:space="preserve">COMBINED Actual (MTD)</t>
  </si>
  <si>
    <t xml:space="preserve">SPENDING BY CATEGORY — Business vs. Personal</t>
  </si>
  <si>
    <t xml:space="preserve">BIZ Budget ($)</t>
  </si>
  <si>
    <t xml:space="preserve">BIZ Actual ($)</t>
  </si>
  <si>
    <t xml:space="preserve">BIZ Variance</t>
  </si>
  <si>
    <t xml:space="preserve">PERSONAL Budget ($)</t>
  </si>
  <si>
    <t xml:space="preserve">PERSONAL Actual ($)</t>
  </si>
  <si>
    <t xml:space="preserve">PERSONAL Variance</t>
  </si>
  <si>
    <t xml:space="preserve">COMBINED Total</t>
  </si>
  <si>
    <t xml:space="preserve">—</t>
  </si>
  <si>
    <t xml:space="preserve">Miscellaneous</t>
  </si>
  <si>
    <t xml:space="preserve">  ℹ  Category totals will auto-populate when SUMIF formulas are linked to BIZ Budget and PERSONAL Budget tabs by the developer.</t>
  </si>
  <si>
    <t xml:space="preserve">PAYMENTS BY ACCOUNT — Monthly Summary</t>
  </si>
  <si>
    <t xml:space="preserve"># of Bills</t>
  </si>
  <si>
    <t xml:space="preserve">Total Budget ($)</t>
  </si>
  <si>
    <t xml:space="preserve">Auto-Pay Bills</t>
  </si>
  <si>
    <t xml:space="preserve">DISCOVER</t>
  </si>
  <si>
    <t xml:space="preserve">OZK Business</t>
  </si>
  <si>
    <t xml:space="preserve">Wells Fargo Business</t>
  </si>
  <si>
    <t xml:space="preserve">Chase Checking</t>
  </si>
  <si>
    <t xml:space="preserve">Chase Debit</t>
  </si>
  <si>
    <t xml:space="preserve">First Digital</t>
  </si>
  <si>
    <t xml:space="preserve">Other</t>
  </si>
  <si>
    <t xml:space="preserve">KelliWorks — Monthly Payment Calendar</t>
  </si>
  <si>
    <t xml:space="preserve">Bills organized by due date  |  Blue = manual payment required  |  Green = Auto Pay  |  Orange = Quarterly</t>
  </si>
  <si>
    <t xml:space="preserve">Budget Amount</t>
  </si>
  <si>
    <t xml:space="preserve">Account</t>
  </si>
  <si>
    <t xml:space="preserve">  📅 WEEK 1  (Days 1–7)</t>
  </si>
  <si>
    <t xml:space="preserve">  [Accounting Software]  [Day 1]</t>
  </si>
  <si>
    <t xml:space="preserve">  [Landlord / Mortgage]  [Day 1]</t>
  </si>
  <si>
    <t xml:space="preserve">  WEEK 1  (Days 1–7) SUBTOTAL</t>
  </si>
  <si>
    <t xml:space="preserve">  📅 WEEK 2  (Days 8–14)</t>
  </si>
  <si>
    <t xml:space="preserve">  [Cyber Insurance]  [Day 11]</t>
  </si>
  <si>
    <t xml:space="preserve">  WEEK 2  (Days 8–14) SUBTOTAL</t>
  </si>
  <si>
    <t xml:space="preserve">  📅 WEEK 3  (Days 15–21)</t>
  </si>
  <si>
    <t xml:space="preserve">  [Liability Insurance]  [Day 15]</t>
  </si>
  <si>
    <t xml:space="preserve">  [Design Tool]  [Day 21]</t>
  </si>
  <si>
    <t xml:space="preserve">Marketing</t>
  </si>
  <si>
    <t xml:space="preserve">  WEEK 3  (Days 15–21) SUBTOTAL</t>
  </si>
  <si>
    <t xml:space="preserve">  📅 WEEK 4  (Days 22–31)</t>
  </si>
  <si>
    <t xml:space="preserve">  [Life Insurance]  [Day 27]</t>
  </si>
  <si>
    <t xml:space="preserve">  [Liability Insurance]  [Day 30]</t>
  </si>
  <si>
    <t xml:space="preserve">  WEEK 4  (Days 22–31) SUBTOTAL</t>
  </si>
  <si>
    <t xml:space="preserve">KelliWorks — 3-Month Rolling Payment Forecast</t>
  </si>
  <si>
    <t xml:space="preserve">Forward-looking cash outflow projection  |  Blue = editable  |  Quarterly bills spread across applicable months</t>
  </si>
  <si>
    <t xml:space="preserve">Month 1 (Current)</t>
  </si>
  <si>
    <t xml:space="preserve">Month 2</t>
  </si>
  <si>
    <t xml:space="preserve">Month 3</t>
  </si>
  <si>
    <t xml:space="preserve">Freq.</t>
  </si>
  <si>
    <t xml:space="preserve">Budget ($)</t>
  </si>
  <si>
    <t xml:space="preserve">Projected ($)</t>
  </si>
  <si>
    <t xml:space="preserve">MONTHLY TOTAL</t>
  </si>
  <si>
    <t xml:space="preserve">KelliWorks — Supabase Database Schema Reference</t>
  </si>
  <si>
    <t xml:space="preserve">For developer use only — maps Excel fields to PostgreSQL table columns</t>
  </si>
  <si>
    <t xml:space="preserve">TABLE: bills (recurring_bills)</t>
  </si>
  <si>
    <t xml:space="preserve">Column Name</t>
  </si>
  <si>
    <t xml:space="preserve">Constraints</t>
  </si>
  <si>
    <t xml:space="preserve">id</t>
  </si>
  <si>
    <t xml:space="preserve">uuid</t>
  </si>
  <si>
    <t xml:space="preserve">PRIMARY KEY</t>
  </si>
  <si>
    <t xml:space="preserve">Auto-generated. DEFAULT gen_random_uuid()</t>
  </si>
  <si>
    <t xml:space="preserve">client_id</t>
  </si>
  <si>
    <t xml:space="preserve">FK → clients</t>
  </si>
  <si>
    <t xml:space="preserve">References clients.id. Row-level security enforces isolation.</t>
  </si>
  <si>
    <t xml:space="preserve">text</t>
  </si>
  <si>
    <t xml:space="preserve">NOT NULL</t>
  </si>
  <si>
    <t xml:space="preserve">Biller name. Client-editable.</t>
  </si>
  <si>
    <t xml:space="preserve">Enum: see category list in Instructions tab.</t>
  </si>
  <si>
    <t xml:space="preserve">NULLABLE</t>
  </si>
  <si>
    <t xml:space="preserve">bill_type</t>
  </si>
  <si>
    <t xml:space="preserve">Enum: 'business' | 'personal'</t>
  </si>
  <si>
    <t xml:space="preserve">numeric</t>
  </si>
  <si>
    <t xml:space="preserve">Expected monthly cost in USD.</t>
  </si>
  <si>
    <t xml:space="preserve">Populated by Plaid match. NULL until matched.</t>
  </si>
  <si>
    <t xml:space="preserve">Enum: 'monthly' | 'quarterly' | 'annual' | 'weekly' | 'one_time'</t>
  </si>
  <si>
    <t xml:space="preserve">smallint</t>
  </si>
  <si>
    <t xml:space="preserve">Day of month (1–31). NULL for weekly items.</t>
  </si>
  <si>
    <t xml:space="preserve">Week of month (1–4). Used for weekly items.</t>
  </si>
  <si>
    <t xml:space="preserve">Account nickname. e.g. DISCOVER, OZK, Chase.</t>
  </si>
  <si>
    <t xml:space="preserve">boolean</t>
  </si>
  <si>
    <t xml:space="preserve">NOT NULL DEFAULT false</t>
  </si>
  <si>
    <t xml:space="preserve">True = ACH/auto-charge.</t>
  </si>
  <si>
    <t xml:space="preserve">NOT NULL DEFAULT 'active'</t>
  </si>
  <si>
    <t xml:space="preserve">Enum: 'active' | 'cancelled' | 'pending' | 'seasonal'</t>
  </si>
  <si>
    <t xml:space="preserve">NULLABLE DEFAULT 0.15</t>
  </si>
  <si>
    <t xml:space="preserve">Variance % threshold for yellow alert. Default 15%.</t>
  </si>
  <si>
    <t xml:space="preserve">Free-form advisor notes.</t>
  </si>
  <si>
    <t xml:space="preserve">plaid_match_id</t>
  </si>
  <si>
    <t xml:space="preserve">Plaid transaction ID that cleared this bill.</t>
  </si>
  <si>
    <t xml:space="preserve">cleared_at</t>
  </si>
  <si>
    <t xml:space="preserve">timestamptz</t>
  </si>
  <si>
    <t xml:space="preserve">Timestamp when Plaid confirmed payment cleared.</t>
  </si>
  <si>
    <t xml:space="preserve">created_at</t>
  </si>
  <si>
    <t xml:space="preserve">NOT NULL DEFAULT now()</t>
  </si>
  <si>
    <t xml:space="preserve">updated_at</t>
  </si>
  <si>
    <t xml:space="preserve">TABLE: clients</t>
  </si>
  <si>
    <t xml:space="preserve">advisor_id</t>
  </si>
  <si>
    <t xml:space="preserve">FK → users</t>
  </si>
  <si>
    <t xml:space="preserve">Kelli or advisor who manages this client.</t>
  </si>
  <si>
    <t xml:space="preserve">full_name</t>
  </si>
  <si>
    <t xml:space="preserve">email</t>
  </si>
  <si>
    <t xml:space="preserve">UNIQUE NOT NULL</t>
  </si>
  <si>
    <t xml:space="preserve">tier</t>
  </si>
  <si>
    <t xml:space="preserve">Enum: 'standard' | 'upgraded'</t>
  </si>
  <si>
    <t xml:space="preserve">onboarding_complete</t>
  </si>
  <si>
    <t xml:space="preserve">TABLE: payment_alerts</t>
  </si>
  <si>
    <t xml:space="preserve">bill_id</t>
  </si>
  <si>
    <t xml:space="preserve">FK → bills</t>
  </si>
  <si>
    <t xml:space="preserve">alert_type</t>
  </si>
  <si>
    <t xml:space="preserve">Enum: 'yellow' | 'red'</t>
  </si>
  <si>
    <t xml:space="preserve">reason</t>
  </si>
  <si>
    <t xml:space="preserve">e.g. 'overdue' | 'amount_fluctuation' | 'insufficient_funds'</t>
  </si>
  <si>
    <t xml:space="preserve">acknowledged</t>
  </si>
  <si>
    <t xml:space="preserve">acknowledged_at</t>
  </si>
  <si>
    <t xml:space="preserve">TABLE: scheduled_payments (Phase 2 stub)</t>
  </si>
  <si>
    <t xml:space="preserve">scheduled_date</t>
  </si>
  <si>
    <t xml:space="preserve">date</t>
  </si>
  <si>
    <t xml:space="preserve">amount</t>
  </si>
  <si>
    <t xml:space="preserve">NOT NULL DEFAULT 'pending'</t>
  </si>
  <si>
    <t xml:space="preserve">Enum: 'pending' | 'approved' | 'sent' | 'failed'</t>
  </si>
  <si>
    <t xml:space="preserve">approved_by</t>
  </si>
  <si>
    <t xml:space="preserve">Advisor who approved. Required before any payment.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</si>
</sst>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\$#,##0.00;&quot;($&quot;#,##0.00\);\-"/>
    <numFmt numFmtId="166" formatCode="0.0%;\(0.0%\);\-"/>
  </numFmts>
  <fonts count="2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b val="true"/>
      <sz val="10"/>
      <color rgb="FF1B2A4A"/>
      <name val="Arial"/>
      <family val="0"/>
      <charset val="1"/>
    </font>
    <font>
      <b val="true"/>
      <sz val="11"/>
      <color rgb="FF1B2A4A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0"/>
      <color rgb="FF008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CC0000"/>
      <name val="Arial"/>
      <family val="0"/>
      <charset val="1"/>
    </font>
    <font>
      <b val="true"/>
      <sz val="10"/>
      <color rgb="FFFFFF00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9"/>
      <color rgb="FF1B2A4A"/>
      <name val="Courier New"/>
      <family val="0"/>
      <charset val="1"/>
    </font>
    <font>
      <sz val="9"/>
      <color rgb="FF000000"/>
      <name val="Arial"/>
      <family val="0"/>
      <charset val="1"/>
    </font>
    <font>
      <b val="true"/>
      <sz val="9"/>
      <color rgb="FF1B2A4A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i val="true"/>
      <sz val="9"/>
      <color rgb="FF1B2A4A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4"/>
      <color rgb="FF1B2A4A"/>
      <name val="Arial"/>
      <family val="0"/>
      <charset val="1"/>
    </font>
    <font>
      <i val="true"/>
      <sz val="9"/>
      <color rgb="FF999999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8"/>
      <color rgb="FF1B2A4A"/>
      <name val="Arial"/>
      <family val="0"/>
      <charset val="1"/>
    </font>
    <font>
      <sz val="9"/>
      <color rgb="FF0000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9"/>
      <color rgb="FF0000FF"/>
      <name val="Courier New"/>
      <family val="0"/>
      <charset val="1"/>
    </font>
  </fonts>
  <fills count="14">
    <fill>
      <patternFill patternType="none"/>
    </fill>
    <fill>
      <patternFill patternType="gray125"/>
    </fill>
    <fill>
      <patternFill patternType="solid">
        <fgColor rgb="FF1B2A4A"/>
        <bgColor rgb="FF003366"/>
      </patternFill>
    </fill>
    <fill>
      <patternFill patternType="solid">
        <fgColor rgb="FFC9A84C"/>
        <bgColor rgb="FF999999"/>
      </patternFill>
    </fill>
    <fill>
      <patternFill patternType="solid">
        <fgColor rgb="FFD6E4F0"/>
        <bgColor rgb="FFE8F5E9"/>
      </patternFill>
    </fill>
    <fill>
      <patternFill patternType="solid">
        <fgColor rgb="FF008000"/>
        <bgColor rgb="FF008080"/>
      </patternFill>
    </fill>
    <fill>
      <patternFill patternType="solid">
        <fgColor rgb="FFFDF3DC"/>
        <bgColor rgb="FFFFFBE6"/>
      </patternFill>
    </fill>
    <fill>
      <patternFill patternType="solid">
        <fgColor rgb="FFCC0000"/>
        <bgColor rgb="FF800000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BE6"/>
      </patternFill>
    </fill>
    <fill>
      <patternFill patternType="solid">
        <fgColor rgb="FFF5F5F5"/>
        <bgColor rgb="FFE8F5E9"/>
      </patternFill>
    </fill>
    <fill>
      <patternFill patternType="solid">
        <fgColor rgb="FFFFFF99"/>
        <bgColor rgb="FFFDF3DC"/>
      </patternFill>
    </fill>
    <fill>
      <patternFill patternType="solid">
        <fgColor rgb="FFFFFBE6"/>
        <bgColor rgb="FFFDF3DC"/>
      </patternFill>
    </fill>
    <fill>
      <patternFill patternType="solid">
        <fgColor rgb="FFE8F5E9"/>
        <bgColor rgb="FFF5F5F5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BDBDBD"/>
      </left>
      <right style="thin">
        <color rgb="FFBDBDBD"/>
      </right>
      <top style="thin">
        <color rgb="FFBDBDBD"/>
      </top>
      <bottom style="thin">
        <color rgb="FFBDBDBD"/>
      </bottom>
      <diagonal/>
    </border>
    <border diagonalUp="false" diagonalDown="false">
      <left style="thin">
        <color rgb="FFBDBDBD"/>
      </left>
      <right/>
      <top style="thin">
        <color rgb="FFBDBDBD"/>
      </top>
      <bottom style="thin">
        <color rgb="FFBDBDBD"/>
      </bottom>
      <diagonal/>
    </border>
    <border diagonalUp="false" diagonalDown="false">
      <left style="medium">
        <color rgb="FF1B2A4A"/>
      </left>
      <right style="medium">
        <color rgb="FF1B2A4A"/>
      </right>
      <top style="medium">
        <color rgb="FF1B2A4A"/>
      </top>
      <bottom style="medium">
        <color rgb="FF1B2A4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4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6" fillId="6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6" fillId="9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8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3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20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20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0" fillId="9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20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8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1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2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6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20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8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7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21" fillId="9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22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9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22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3" fillId="12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2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6" fillId="1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6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6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4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6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4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4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25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9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25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6" fillId="2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7" fillId="9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7" fillId="1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6" fillId="1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C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DBDBD"/>
      <rgbColor rgb="FF808080"/>
      <rgbColor rgb="FF9999FF"/>
      <rgbColor rgb="FF993366"/>
      <rgbColor rgb="FFFFFBE6"/>
      <rgbColor rgb="FFE8F5E9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5F5F5"/>
      <rgbColor rgb="FFFDF3D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C9A84C"/>
      <rgbColor rgb="FFFF6600"/>
      <rgbColor rgb="FF666666"/>
      <rgbColor rgb="FF999999"/>
      <rgbColor rgb="FF003366"/>
      <rgbColor rgb="FF339966"/>
      <rgbColor rgb="FF003300"/>
      <rgbColor rgb="FF333300"/>
      <rgbColor rgb="FF993300"/>
      <rgbColor rgb="FF993366"/>
      <rgbColor rgb="FF333399"/>
      <rgbColor rgb="FF1B2A4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5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2"/>
    <col collapsed="false" customWidth="true" hidden="false" outlineLevel="0" max="2" min="2" style="1" width="14"/>
    <col collapsed="false" customWidth="true" hidden="false" outlineLevel="0" max="3" min="3" style="1" width="12"/>
    <col collapsed="false" customWidth="true" hidden="false" outlineLevel="0" max="4" min="4" style="1" width="55"/>
    <col collapsed="false" customWidth="true" hidden="false" outlineLevel="0" max="8" min="5" style="1" width="8"/>
  </cols>
  <sheetData>
    <row r="1" customFormat="false" ht="27.7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</row>
    <row r="2" customFormat="false" ht="27.75" hidden="false" customHeight="true" outlineLevel="0" collapsed="false">
      <c r="A2" s="3" t="s">
        <v>1</v>
      </c>
      <c r="B2" s="3"/>
      <c r="C2" s="3"/>
      <c r="D2" s="3"/>
      <c r="E2" s="3"/>
      <c r="F2" s="3"/>
      <c r="G2" s="3"/>
      <c r="H2" s="3"/>
    </row>
    <row r="3" customFormat="false" ht="7.5" hidden="false" customHeight="true" outlineLevel="0" collapsed="false"/>
    <row r="4" customFormat="false" ht="21.75" hidden="false" customHeight="true" outlineLevel="0" collapsed="false">
      <c r="A4" s="4" t="s">
        <v>2</v>
      </c>
      <c r="B4" s="4"/>
      <c r="C4" s="4"/>
      <c r="D4" s="4"/>
      <c r="E4" s="4"/>
      <c r="F4" s="4"/>
      <c r="G4" s="4"/>
      <c r="H4" s="4"/>
    </row>
    <row r="5" customFormat="false" ht="15" hidden="false" customHeight="true" outlineLevel="0" collapsed="false">
      <c r="A5" s="5" t="s">
        <v>3</v>
      </c>
      <c r="B5" s="6" t="s">
        <v>4</v>
      </c>
      <c r="C5" s="6"/>
      <c r="D5" s="6"/>
      <c r="E5" s="6"/>
      <c r="F5" s="6"/>
      <c r="G5" s="6"/>
      <c r="H5" s="6"/>
    </row>
    <row r="6" customFormat="false" ht="15" hidden="false" customHeight="true" outlineLevel="0" collapsed="false">
      <c r="A6" s="7" t="s">
        <v>5</v>
      </c>
      <c r="B6" s="6" t="s">
        <v>6</v>
      </c>
      <c r="C6" s="6"/>
      <c r="D6" s="6"/>
      <c r="E6" s="6"/>
      <c r="F6" s="6"/>
      <c r="G6" s="6"/>
      <c r="H6" s="6"/>
    </row>
    <row r="7" customFormat="false" ht="15" hidden="false" customHeight="true" outlineLevel="0" collapsed="false">
      <c r="A7" s="8" t="s">
        <v>7</v>
      </c>
      <c r="B7" s="6" t="s">
        <v>8</v>
      </c>
      <c r="C7" s="6"/>
      <c r="D7" s="6"/>
      <c r="E7" s="6"/>
      <c r="F7" s="6"/>
      <c r="G7" s="6"/>
      <c r="H7" s="6"/>
    </row>
    <row r="8" customFormat="false" ht="15" hidden="false" customHeight="true" outlineLevel="0" collapsed="false">
      <c r="A8" s="9" t="s">
        <v>9</v>
      </c>
      <c r="B8" s="6" t="s">
        <v>10</v>
      </c>
      <c r="C8" s="6"/>
      <c r="D8" s="6"/>
      <c r="E8" s="6"/>
      <c r="F8" s="6"/>
      <c r="G8" s="6"/>
      <c r="H8" s="6"/>
    </row>
    <row r="9" customFormat="false" ht="15" hidden="false" customHeight="true" outlineLevel="0" collapsed="false">
      <c r="A9" s="10" t="s">
        <v>11</v>
      </c>
      <c r="B9" s="6" t="s">
        <v>12</v>
      </c>
      <c r="C9" s="6"/>
      <c r="D9" s="6"/>
      <c r="E9" s="6"/>
      <c r="F9" s="6"/>
      <c r="G9" s="6"/>
      <c r="H9" s="6"/>
    </row>
    <row r="10" customFormat="false" ht="15" hidden="false" customHeight="true" outlineLevel="0" collapsed="false">
      <c r="A10" s="11" t="s">
        <v>13</v>
      </c>
      <c r="B10" s="6" t="s">
        <v>14</v>
      </c>
      <c r="C10" s="6"/>
      <c r="D10" s="6"/>
      <c r="E10" s="6"/>
      <c r="F10" s="6"/>
      <c r="G10" s="6"/>
      <c r="H10" s="6"/>
    </row>
    <row r="11" customFormat="false" ht="15" hidden="false" customHeight="true" outlineLevel="0" collapsed="false">
      <c r="A11" s="12" t="s">
        <v>15</v>
      </c>
      <c r="B11" s="6" t="s">
        <v>16</v>
      </c>
      <c r="C11" s="6"/>
      <c r="D11" s="6"/>
      <c r="E11" s="6"/>
      <c r="F11" s="6"/>
      <c r="G11" s="6"/>
      <c r="H11" s="6"/>
    </row>
    <row r="12" customFormat="false" ht="15" hidden="false" customHeight="true" outlineLevel="0" collapsed="false">
      <c r="A12" s="8" t="s">
        <v>17</v>
      </c>
      <c r="B12" s="6" t="s">
        <v>18</v>
      </c>
      <c r="C12" s="6"/>
      <c r="D12" s="6"/>
      <c r="E12" s="6"/>
      <c r="F12" s="6"/>
      <c r="G12" s="6"/>
      <c r="H12" s="6"/>
    </row>
    <row r="13" customFormat="false" ht="15" hidden="false" customHeight="true" outlineLevel="0" collapsed="false">
      <c r="A13" s="13" t="s">
        <v>19</v>
      </c>
      <c r="B13" s="6" t="s">
        <v>20</v>
      </c>
      <c r="C13" s="6"/>
      <c r="D13" s="6"/>
      <c r="E13" s="6"/>
      <c r="F13" s="6"/>
      <c r="G13" s="6"/>
      <c r="H13" s="6"/>
    </row>
    <row r="14" customFormat="false" ht="15" hidden="false" customHeight="true" outlineLevel="0" collapsed="false">
      <c r="A14" s="14" t="s">
        <v>21</v>
      </c>
      <c r="B14" s="6" t="s">
        <v>22</v>
      </c>
      <c r="C14" s="6"/>
      <c r="D14" s="6"/>
      <c r="E14" s="6"/>
      <c r="F14" s="6"/>
      <c r="G14" s="6"/>
      <c r="H14" s="6"/>
    </row>
    <row r="15" customFormat="false" ht="7.5" hidden="false" customHeight="true" outlineLevel="0" collapsed="false"/>
    <row r="16" customFormat="false" ht="21.75" hidden="false" customHeight="true" outlineLevel="0" collapsed="false">
      <c r="A16" s="4" t="s">
        <v>23</v>
      </c>
      <c r="B16" s="4"/>
      <c r="C16" s="4"/>
      <c r="D16" s="4"/>
      <c r="E16" s="4"/>
      <c r="F16" s="4"/>
      <c r="G16" s="4"/>
      <c r="H16" s="4"/>
    </row>
    <row r="17" customFormat="false" ht="27.75" hidden="false" customHeight="true" outlineLevel="0" collapsed="false">
      <c r="A17" s="15" t="s">
        <v>24</v>
      </c>
      <c r="B17" s="16" t="s">
        <v>25</v>
      </c>
      <c r="C17" s="16"/>
      <c r="D17" s="16"/>
      <c r="E17" s="16"/>
      <c r="F17" s="16"/>
      <c r="G17" s="16"/>
      <c r="H17" s="16"/>
    </row>
    <row r="18" customFormat="false" ht="27.75" hidden="false" customHeight="true" outlineLevel="0" collapsed="false">
      <c r="A18" s="15" t="s">
        <v>26</v>
      </c>
      <c r="B18" s="16" t="s">
        <v>27</v>
      </c>
      <c r="C18" s="16"/>
      <c r="D18" s="16"/>
      <c r="E18" s="16"/>
      <c r="F18" s="16"/>
      <c r="G18" s="16"/>
      <c r="H18" s="16"/>
    </row>
    <row r="19" customFormat="false" ht="27.75" hidden="false" customHeight="true" outlineLevel="0" collapsed="false">
      <c r="A19" s="15" t="s">
        <v>28</v>
      </c>
      <c r="B19" s="16" t="s">
        <v>29</v>
      </c>
      <c r="C19" s="16"/>
      <c r="D19" s="16"/>
      <c r="E19" s="16"/>
      <c r="F19" s="16"/>
      <c r="G19" s="16"/>
      <c r="H19" s="16"/>
    </row>
    <row r="20" customFormat="false" ht="27.75" hidden="false" customHeight="true" outlineLevel="0" collapsed="false">
      <c r="A20" s="15" t="s">
        <v>30</v>
      </c>
      <c r="B20" s="16" t="s">
        <v>31</v>
      </c>
      <c r="C20" s="16"/>
      <c r="D20" s="16"/>
      <c r="E20" s="16"/>
      <c r="F20" s="16"/>
      <c r="G20" s="16"/>
      <c r="H20" s="16"/>
    </row>
    <row r="21" customFormat="false" ht="27.75" hidden="false" customHeight="true" outlineLevel="0" collapsed="false">
      <c r="A21" s="15" t="s">
        <v>32</v>
      </c>
      <c r="B21" s="16" t="s">
        <v>33</v>
      </c>
      <c r="C21" s="16"/>
      <c r="D21" s="16"/>
      <c r="E21" s="16"/>
      <c r="F21" s="16"/>
      <c r="G21" s="16"/>
      <c r="H21" s="16"/>
    </row>
    <row r="22" customFormat="false" ht="27.75" hidden="false" customHeight="true" outlineLevel="0" collapsed="false">
      <c r="A22" s="15" t="s">
        <v>34</v>
      </c>
      <c r="B22" s="16" t="s">
        <v>35</v>
      </c>
      <c r="C22" s="16"/>
      <c r="D22" s="16"/>
      <c r="E22" s="16"/>
      <c r="F22" s="16"/>
      <c r="G22" s="16"/>
      <c r="H22" s="16"/>
    </row>
    <row r="23" customFormat="false" ht="7.5" hidden="false" customHeight="true" outlineLevel="0" collapsed="false"/>
    <row r="24" customFormat="false" ht="21.75" hidden="false" customHeight="true" outlineLevel="0" collapsed="false">
      <c r="A24" s="4" t="s">
        <v>36</v>
      </c>
      <c r="B24" s="4"/>
      <c r="C24" s="4"/>
      <c r="D24" s="4"/>
      <c r="E24" s="4"/>
      <c r="F24" s="4"/>
      <c r="G24" s="4"/>
      <c r="H24" s="4"/>
    </row>
    <row r="25" customFormat="false" ht="30" hidden="false" customHeight="true" outlineLevel="0" collapsed="false">
      <c r="A25" s="17" t="s">
        <v>37</v>
      </c>
      <c r="B25" s="17" t="s">
        <v>38</v>
      </c>
      <c r="C25" s="17" t="s">
        <v>39</v>
      </c>
      <c r="D25" s="17" t="s">
        <v>40</v>
      </c>
      <c r="E25" s="17"/>
      <c r="F25" s="17"/>
      <c r="G25" s="17"/>
      <c r="H25" s="17"/>
    </row>
    <row r="26" customFormat="false" ht="19.5" hidden="false" customHeight="true" outlineLevel="0" collapsed="false">
      <c r="A26" s="18" t="s">
        <v>41</v>
      </c>
      <c r="B26" s="19" t="s">
        <v>42</v>
      </c>
      <c r="C26" s="19" t="s">
        <v>43</v>
      </c>
      <c r="D26" s="20" t="s">
        <v>44</v>
      </c>
      <c r="E26" s="20"/>
      <c r="F26" s="20"/>
      <c r="G26" s="20"/>
      <c r="H26" s="20"/>
    </row>
    <row r="27" customFormat="false" ht="19.5" hidden="false" customHeight="true" outlineLevel="0" collapsed="false">
      <c r="A27" s="21" t="s">
        <v>45</v>
      </c>
      <c r="B27" s="22" t="s">
        <v>42</v>
      </c>
      <c r="C27" s="22" t="s">
        <v>43</v>
      </c>
      <c r="D27" s="23" t="s">
        <v>46</v>
      </c>
      <c r="E27" s="23"/>
      <c r="F27" s="23"/>
      <c r="G27" s="23"/>
      <c r="H27" s="23"/>
    </row>
    <row r="28" customFormat="false" ht="19.5" hidden="false" customHeight="true" outlineLevel="0" collapsed="false">
      <c r="A28" s="18" t="s">
        <v>47</v>
      </c>
      <c r="B28" s="19" t="s">
        <v>42</v>
      </c>
      <c r="C28" s="19" t="s">
        <v>48</v>
      </c>
      <c r="D28" s="20" t="s">
        <v>49</v>
      </c>
      <c r="E28" s="20"/>
      <c r="F28" s="20"/>
      <c r="G28" s="20"/>
      <c r="H28" s="20"/>
    </row>
    <row r="29" customFormat="false" ht="19.5" hidden="false" customHeight="true" outlineLevel="0" collapsed="false">
      <c r="A29" s="21" t="s">
        <v>50</v>
      </c>
      <c r="B29" s="22" t="s">
        <v>51</v>
      </c>
      <c r="C29" s="22" t="s">
        <v>43</v>
      </c>
      <c r="D29" s="23" t="s">
        <v>52</v>
      </c>
      <c r="E29" s="23"/>
      <c r="F29" s="23"/>
      <c r="G29" s="23"/>
      <c r="H29" s="23"/>
    </row>
    <row r="30" customFormat="false" ht="19.5" hidden="false" customHeight="true" outlineLevel="0" collapsed="false">
      <c r="A30" s="18" t="s">
        <v>53</v>
      </c>
      <c r="B30" s="19" t="s">
        <v>51</v>
      </c>
      <c r="C30" s="19" t="s">
        <v>54</v>
      </c>
      <c r="D30" s="20" t="s">
        <v>55</v>
      </c>
      <c r="E30" s="20"/>
      <c r="F30" s="20"/>
      <c r="G30" s="20"/>
      <c r="H30" s="20"/>
    </row>
    <row r="31" customFormat="false" ht="19.5" hidden="false" customHeight="true" outlineLevel="0" collapsed="false">
      <c r="A31" s="21" t="s">
        <v>56</v>
      </c>
      <c r="B31" s="22" t="s">
        <v>51</v>
      </c>
      <c r="C31" s="22" t="s">
        <v>54</v>
      </c>
      <c r="D31" s="23" t="s">
        <v>57</v>
      </c>
      <c r="E31" s="23"/>
      <c r="F31" s="23"/>
      <c r="G31" s="23"/>
      <c r="H31" s="23"/>
    </row>
    <row r="32" customFormat="false" ht="19.5" hidden="false" customHeight="true" outlineLevel="0" collapsed="false">
      <c r="A32" s="18" t="s">
        <v>58</v>
      </c>
      <c r="B32" s="19" t="s">
        <v>59</v>
      </c>
      <c r="C32" s="19" t="s">
        <v>54</v>
      </c>
      <c r="D32" s="20" t="s">
        <v>60</v>
      </c>
      <c r="E32" s="20"/>
      <c r="F32" s="20"/>
      <c r="G32" s="20"/>
      <c r="H32" s="20"/>
    </row>
    <row r="33" customFormat="false" ht="19.5" hidden="false" customHeight="true" outlineLevel="0" collapsed="false">
      <c r="A33" s="21" t="s">
        <v>61</v>
      </c>
      <c r="B33" s="22" t="s">
        <v>42</v>
      </c>
      <c r="C33" s="22" t="s">
        <v>43</v>
      </c>
      <c r="D33" s="23" t="s">
        <v>62</v>
      </c>
      <c r="E33" s="23"/>
      <c r="F33" s="23"/>
      <c r="G33" s="23"/>
      <c r="H33" s="23"/>
    </row>
    <row r="34" customFormat="false" ht="19.5" hidden="false" customHeight="true" outlineLevel="0" collapsed="false">
      <c r="A34" s="18" t="s">
        <v>63</v>
      </c>
      <c r="B34" s="19" t="s">
        <v>64</v>
      </c>
      <c r="C34" s="19" t="s">
        <v>43</v>
      </c>
      <c r="D34" s="20" t="s">
        <v>65</v>
      </c>
      <c r="E34" s="20"/>
      <c r="F34" s="20"/>
      <c r="G34" s="20"/>
      <c r="H34" s="20"/>
    </row>
    <row r="35" customFormat="false" ht="19.5" hidden="false" customHeight="true" outlineLevel="0" collapsed="false">
      <c r="A35" s="21" t="s">
        <v>66</v>
      </c>
      <c r="B35" s="22" t="s">
        <v>64</v>
      </c>
      <c r="C35" s="22" t="s">
        <v>48</v>
      </c>
      <c r="D35" s="23" t="s">
        <v>67</v>
      </c>
      <c r="E35" s="23"/>
      <c r="F35" s="23"/>
      <c r="G35" s="23"/>
      <c r="H35" s="23"/>
    </row>
    <row r="36" customFormat="false" ht="19.5" hidden="false" customHeight="true" outlineLevel="0" collapsed="false">
      <c r="A36" s="18" t="s">
        <v>68</v>
      </c>
      <c r="B36" s="19" t="s">
        <v>42</v>
      </c>
      <c r="C36" s="19" t="s">
        <v>43</v>
      </c>
      <c r="D36" s="20" t="s">
        <v>69</v>
      </c>
      <c r="E36" s="20"/>
      <c r="F36" s="20"/>
      <c r="G36" s="20"/>
      <c r="H36" s="20"/>
    </row>
    <row r="37" customFormat="false" ht="19.5" hidden="false" customHeight="true" outlineLevel="0" collapsed="false">
      <c r="A37" s="21" t="s">
        <v>70</v>
      </c>
      <c r="B37" s="22" t="s">
        <v>71</v>
      </c>
      <c r="C37" s="22" t="s">
        <v>43</v>
      </c>
      <c r="D37" s="23" t="s">
        <v>72</v>
      </c>
      <c r="E37" s="23"/>
      <c r="F37" s="23"/>
      <c r="G37" s="23"/>
      <c r="H37" s="23"/>
    </row>
    <row r="38" customFormat="false" ht="19.5" hidden="false" customHeight="true" outlineLevel="0" collapsed="false">
      <c r="A38" s="18" t="s">
        <v>73</v>
      </c>
      <c r="B38" s="19" t="s">
        <v>42</v>
      </c>
      <c r="C38" s="19" t="s">
        <v>43</v>
      </c>
      <c r="D38" s="20" t="s">
        <v>74</v>
      </c>
      <c r="E38" s="20"/>
      <c r="F38" s="20"/>
      <c r="G38" s="20"/>
      <c r="H38" s="20"/>
    </row>
    <row r="39" customFormat="false" ht="19.5" hidden="false" customHeight="true" outlineLevel="0" collapsed="false">
      <c r="A39" s="21" t="s">
        <v>75</v>
      </c>
      <c r="B39" s="22" t="s">
        <v>59</v>
      </c>
      <c r="C39" s="22" t="s">
        <v>48</v>
      </c>
      <c r="D39" s="23" t="s">
        <v>76</v>
      </c>
      <c r="E39" s="23"/>
      <c r="F39" s="23"/>
      <c r="G39" s="23"/>
      <c r="H39" s="23"/>
    </row>
    <row r="40" customFormat="false" ht="19.5" hidden="false" customHeight="true" outlineLevel="0" collapsed="false">
      <c r="A40" s="18" t="s">
        <v>77</v>
      </c>
      <c r="B40" s="19" t="s">
        <v>42</v>
      </c>
      <c r="C40" s="19" t="s">
        <v>48</v>
      </c>
      <c r="D40" s="20" t="s">
        <v>78</v>
      </c>
      <c r="E40" s="20"/>
      <c r="F40" s="20"/>
      <c r="G40" s="20"/>
      <c r="H40" s="20"/>
    </row>
    <row r="43" customFormat="false" ht="21.75" hidden="false" customHeight="true" outlineLevel="0" collapsed="false">
      <c r="A43" s="4" t="s">
        <v>79</v>
      </c>
      <c r="B43" s="4"/>
      <c r="C43" s="4"/>
      <c r="D43" s="4"/>
      <c r="E43" s="4"/>
      <c r="F43" s="4"/>
      <c r="G43" s="4"/>
      <c r="H43" s="4"/>
    </row>
    <row r="44" customFormat="false" ht="30" hidden="false" customHeight="true" outlineLevel="0" collapsed="false">
      <c r="A44" s="24" t="s">
        <v>80</v>
      </c>
      <c r="B44" s="24"/>
      <c r="C44" s="24" t="s">
        <v>81</v>
      </c>
      <c r="D44" s="24"/>
      <c r="E44" s="24"/>
      <c r="F44" s="24"/>
      <c r="G44" s="24"/>
      <c r="H44" s="24"/>
    </row>
    <row r="45" customFormat="false" ht="15" hidden="false" customHeight="true" outlineLevel="0" collapsed="false">
      <c r="A45" s="25" t="s">
        <v>82</v>
      </c>
      <c r="B45" s="25"/>
      <c r="C45" s="26" t="s">
        <v>83</v>
      </c>
      <c r="D45" s="26"/>
      <c r="E45" s="26"/>
      <c r="F45" s="26"/>
      <c r="G45" s="26"/>
      <c r="H45" s="26"/>
    </row>
    <row r="46" customFormat="false" ht="15" hidden="false" customHeight="true" outlineLevel="0" collapsed="false">
      <c r="A46" s="27" t="s">
        <v>84</v>
      </c>
      <c r="B46" s="27"/>
      <c r="C46" s="27" t="s">
        <v>85</v>
      </c>
      <c r="D46" s="27"/>
      <c r="E46" s="27"/>
      <c r="F46" s="27"/>
      <c r="G46" s="27"/>
      <c r="H46" s="27"/>
    </row>
    <row r="47" customFormat="false" ht="15" hidden="false" customHeight="true" outlineLevel="0" collapsed="false">
      <c r="A47" s="25" t="s">
        <v>86</v>
      </c>
      <c r="B47" s="25"/>
      <c r="C47" s="26" t="s">
        <v>87</v>
      </c>
      <c r="D47" s="26"/>
      <c r="E47" s="26"/>
      <c r="F47" s="26"/>
      <c r="G47" s="26"/>
      <c r="H47" s="26"/>
    </row>
    <row r="48" customFormat="false" ht="15" hidden="false" customHeight="true" outlineLevel="0" collapsed="false">
      <c r="A48" s="27" t="s">
        <v>88</v>
      </c>
      <c r="B48" s="27"/>
      <c r="C48" s="27" t="s">
        <v>89</v>
      </c>
      <c r="D48" s="27"/>
      <c r="E48" s="27"/>
      <c r="F48" s="27"/>
      <c r="G48" s="27"/>
      <c r="H48" s="27"/>
    </row>
    <row r="49" customFormat="false" ht="15" hidden="false" customHeight="true" outlineLevel="0" collapsed="false">
      <c r="A49" s="25" t="s">
        <v>90</v>
      </c>
      <c r="B49" s="25"/>
      <c r="C49" s="26" t="s">
        <v>84</v>
      </c>
      <c r="D49" s="26"/>
      <c r="E49" s="26"/>
      <c r="F49" s="26"/>
      <c r="G49" s="26"/>
      <c r="H49" s="26"/>
    </row>
    <row r="50" customFormat="false" ht="15" hidden="false" customHeight="true" outlineLevel="0" collapsed="false">
      <c r="A50" s="27" t="s">
        <v>91</v>
      </c>
      <c r="B50" s="27"/>
      <c r="C50" s="27" t="s">
        <v>92</v>
      </c>
      <c r="D50" s="27"/>
      <c r="E50" s="27"/>
      <c r="F50" s="27"/>
      <c r="G50" s="27"/>
      <c r="H50" s="27"/>
    </row>
    <row r="51" customFormat="false" ht="15" hidden="false" customHeight="true" outlineLevel="0" collapsed="false">
      <c r="A51" s="25" t="s">
        <v>93</v>
      </c>
      <c r="B51" s="25"/>
      <c r="C51" s="26" t="s">
        <v>94</v>
      </c>
      <c r="D51" s="26"/>
      <c r="E51" s="26"/>
      <c r="F51" s="26"/>
      <c r="G51" s="26"/>
      <c r="H51" s="26"/>
    </row>
    <row r="52" customFormat="false" ht="15" hidden="false" customHeight="true" outlineLevel="0" collapsed="false">
      <c r="A52" s="27" t="s">
        <v>95</v>
      </c>
      <c r="B52" s="27"/>
      <c r="C52" s="27" t="s">
        <v>96</v>
      </c>
      <c r="D52" s="27"/>
      <c r="E52" s="27"/>
      <c r="F52" s="27"/>
      <c r="G52" s="27"/>
      <c r="H52" s="27"/>
    </row>
    <row r="53" customFormat="false" ht="15" hidden="false" customHeight="true" outlineLevel="0" collapsed="false">
      <c r="A53" s="25" t="s">
        <v>97</v>
      </c>
      <c r="B53" s="25"/>
      <c r="C53" s="26" t="s">
        <v>98</v>
      </c>
      <c r="D53" s="26"/>
      <c r="E53" s="26"/>
      <c r="F53" s="26"/>
      <c r="G53" s="26"/>
      <c r="H53" s="26"/>
    </row>
    <row r="54" customFormat="false" ht="15" hidden="false" customHeight="true" outlineLevel="0" collapsed="false">
      <c r="A54" s="27" t="s">
        <v>99</v>
      </c>
      <c r="B54" s="27"/>
      <c r="C54" s="27" t="s">
        <v>100</v>
      </c>
      <c r="D54" s="27"/>
      <c r="E54" s="27"/>
      <c r="F54" s="27"/>
      <c r="G54" s="27"/>
      <c r="H54" s="27"/>
    </row>
    <row r="55" customFormat="false" ht="15" hidden="false" customHeight="true" outlineLevel="0" collapsed="false">
      <c r="A55" s="25" t="s">
        <v>101</v>
      </c>
      <c r="B55" s="25"/>
      <c r="C55" s="26" t="s">
        <v>102</v>
      </c>
      <c r="D55" s="26"/>
      <c r="E55" s="26"/>
      <c r="F55" s="26"/>
      <c r="G55" s="26"/>
      <c r="H55" s="26"/>
    </row>
    <row r="56" customFormat="false" ht="15" hidden="false" customHeight="true" outlineLevel="0" collapsed="false">
      <c r="A56" s="27" t="s">
        <v>103</v>
      </c>
      <c r="B56" s="27"/>
      <c r="C56" s="27" t="s">
        <v>104</v>
      </c>
      <c r="D56" s="27"/>
      <c r="E56" s="27"/>
      <c r="F56" s="27"/>
      <c r="G56" s="27"/>
      <c r="H56" s="27"/>
    </row>
  </sheetData>
  <mergeCells count="64">
    <mergeCell ref="A1:H1"/>
    <mergeCell ref="A2:H2"/>
    <mergeCell ref="A4:H4"/>
    <mergeCell ref="B5:H5"/>
    <mergeCell ref="B6:H6"/>
    <mergeCell ref="B7:H7"/>
    <mergeCell ref="B8:H8"/>
    <mergeCell ref="B9:H9"/>
    <mergeCell ref="B10:H10"/>
    <mergeCell ref="B11:H11"/>
    <mergeCell ref="B12:H12"/>
    <mergeCell ref="B13:H13"/>
    <mergeCell ref="B14:H14"/>
    <mergeCell ref="A16:H16"/>
    <mergeCell ref="B17:H17"/>
    <mergeCell ref="B18:H18"/>
    <mergeCell ref="B19:H19"/>
    <mergeCell ref="B20:H20"/>
    <mergeCell ref="B21:H21"/>
    <mergeCell ref="B22:H22"/>
    <mergeCell ref="A24:H24"/>
    <mergeCell ref="E25:H25"/>
    <mergeCell ref="D26:H26"/>
    <mergeCell ref="D27:H27"/>
    <mergeCell ref="D28:H28"/>
    <mergeCell ref="D29:H29"/>
    <mergeCell ref="D30:H30"/>
    <mergeCell ref="D31:H31"/>
    <mergeCell ref="D32:H32"/>
    <mergeCell ref="D33:H33"/>
    <mergeCell ref="D34:H34"/>
    <mergeCell ref="D35:H35"/>
    <mergeCell ref="D36:H36"/>
    <mergeCell ref="D37:H37"/>
    <mergeCell ref="D38:H38"/>
    <mergeCell ref="D39:H39"/>
    <mergeCell ref="D40:H40"/>
    <mergeCell ref="A43:H43"/>
    <mergeCell ref="A44:B44"/>
    <mergeCell ref="C44:H44"/>
    <mergeCell ref="A45:B45"/>
    <mergeCell ref="C45:H45"/>
    <mergeCell ref="A46:B46"/>
    <mergeCell ref="C46:H46"/>
    <mergeCell ref="A47:B47"/>
    <mergeCell ref="C47:H47"/>
    <mergeCell ref="A48:B48"/>
    <mergeCell ref="C48:H48"/>
    <mergeCell ref="A49:B49"/>
    <mergeCell ref="C49:H49"/>
    <mergeCell ref="A50:B50"/>
    <mergeCell ref="C50:H50"/>
    <mergeCell ref="A51:B51"/>
    <mergeCell ref="C51:H51"/>
    <mergeCell ref="A52:B52"/>
    <mergeCell ref="C52:H52"/>
    <mergeCell ref="A53:B53"/>
    <mergeCell ref="C53:H53"/>
    <mergeCell ref="A54:B54"/>
    <mergeCell ref="C54:H54"/>
    <mergeCell ref="A55:B55"/>
    <mergeCell ref="C55:H55"/>
    <mergeCell ref="A56:B56"/>
    <mergeCell ref="C56:H5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28"/>
    <col collapsed="false" customWidth="true" hidden="false" outlineLevel="0" max="3" min="3" style="1" width="22"/>
    <col collapsed="false" customWidth="true" hidden="false" outlineLevel="0" max="4" min="4" style="1" width="16"/>
    <col collapsed="false" customWidth="true" hidden="false" outlineLevel="0" max="6" min="5" style="1" width="12"/>
    <col collapsed="false" customWidth="true" hidden="false" outlineLevel="0" max="8" min="7" style="1" width="10"/>
    <col collapsed="false" customWidth="true" hidden="false" outlineLevel="0" max="9" min="9" style="1" width="12"/>
    <col collapsed="false" customWidth="true" hidden="false" outlineLevel="0" max="10" min="10" style="1" width="10"/>
    <col collapsed="false" customWidth="true" hidden="false" outlineLevel="0" max="11" min="11" style="1" width="20"/>
    <col collapsed="false" customWidth="true" hidden="false" outlineLevel="0" max="13" min="12" style="1" width="10"/>
    <col collapsed="false" customWidth="true" hidden="false" outlineLevel="0" max="14" min="14" style="1" width="22"/>
  </cols>
  <sheetData>
    <row r="1" customFormat="false" ht="31.5" hidden="false" customHeight="true" outlineLevel="0" collapsed="false">
      <c r="A1" s="28" t="s">
        <v>105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</row>
    <row r="2" customFormat="false" ht="15.75" hidden="false" customHeight="true" outlineLevel="0" collapsed="false">
      <c r="A2" s="29" t="s">
        <v>106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</row>
    <row r="3" customFormat="false" ht="21.75" hidden="false" customHeight="true" outlineLevel="0" collapsed="false">
      <c r="A3" s="3" t="s">
        <v>107</v>
      </c>
      <c r="B3" s="3"/>
      <c r="C3" s="3"/>
      <c r="D3" s="30" t="n">
        <f aca="false">D27</f>
        <v>7936.84</v>
      </c>
      <c r="E3" s="30" t="n">
        <f aca="false">E27</f>
        <v>0</v>
      </c>
      <c r="F3" s="30" t="n">
        <f aca="false">F27</f>
        <v>-7936.84</v>
      </c>
    </row>
    <row r="4" customFormat="false" ht="30" hidden="false" customHeight="true" outlineLevel="0" collapsed="false">
      <c r="A4" s="17" t="s">
        <v>108</v>
      </c>
      <c r="B4" s="17" t="s">
        <v>109</v>
      </c>
      <c r="C4" s="17" t="s">
        <v>110</v>
      </c>
      <c r="D4" s="17" t="s">
        <v>111</v>
      </c>
      <c r="E4" s="17" t="s">
        <v>112</v>
      </c>
      <c r="F4" s="17" t="s">
        <v>113</v>
      </c>
      <c r="G4" s="17" t="s">
        <v>114</v>
      </c>
      <c r="H4" s="17" t="s">
        <v>115</v>
      </c>
      <c r="I4" s="17" t="s">
        <v>116</v>
      </c>
      <c r="J4" s="17" t="s">
        <v>117</v>
      </c>
      <c r="K4" s="17" t="s">
        <v>118</v>
      </c>
      <c r="L4" s="17" t="s">
        <v>119</v>
      </c>
      <c r="M4" s="17" t="s">
        <v>120</v>
      </c>
      <c r="N4" s="17" t="s">
        <v>121</v>
      </c>
    </row>
    <row r="5" customFormat="false" ht="19.5" hidden="false" customHeight="true" outlineLevel="0" collapsed="false">
      <c r="A5" s="31" t="s">
        <v>122</v>
      </c>
      <c r="B5" s="31"/>
      <c r="C5" s="31"/>
      <c r="D5" s="31"/>
      <c r="E5" s="31"/>
      <c r="F5" s="31"/>
      <c r="G5" s="31"/>
      <c r="H5" s="31"/>
      <c r="I5" s="31"/>
      <c r="J5" s="31"/>
      <c r="K5" s="31"/>
      <c r="L5" s="31"/>
      <c r="M5" s="31"/>
      <c r="N5" s="31"/>
    </row>
    <row r="6" customFormat="false" ht="18" hidden="false" customHeight="true" outlineLevel="0" collapsed="false">
      <c r="A6" s="32" t="n">
        <v>1</v>
      </c>
      <c r="B6" s="33" t="s">
        <v>123</v>
      </c>
      <c r="C6" s="33" t="s">
        <v>82</v>
      </c>
      <c r="D6" s="34" t="n">
        <v>120</v>
      </c>
      <c r="E6" s="35"/>
      <c r="F6" s="36" t="str">
        <f aca="false">IF(E6&lt;&gt;"",E6-D6,"")</f>
        <v/>
      </c>
      <c r="G6" s="37" t="str">
        <f aca="false">IF(AND(D6&lt;&gt;0,E6&lt;&gt;""),F6/D6,"")</f>
        <v/>
      </c>
      <c r="H6" s="38" t="s">
        <v>124</v>
      </c>
      <c r="I6" s="38" t="s">
        <v>125</v>
      </c>
      <c r="J6" s="38"/>
      <c r="K6" s="33" t="s">
        <v>126</v>
      </c>
      <c r="L6" s="38" t="s">
        <v>127</v>
      </c>
      <c r="M6" s="38" t="s">
        <v>128</v>
      </c>
      <c r="N6" s="39"/>
    </row>
    <row r="7" customFormat="false" ht="18" hidden="false" customHeight="true" outlineLevel="0" collapsed="false">
      <c r="A7" s="19" t="n">
        <v>2</v>
      </c>
      <c r="B7" s="40" t="s">
        <v>129</v>
      </c>
      <c r="C7" s="40" t="s">
        <v>82</v>
      </c>
      <c r="D7" s="41" t="n">
        <v>50</v>
      </c>
      <c r="E7" s="35"/>
      <c r="F7" s="42" t="str">
        <f aca="false">IF(E7&lt;&gt;"",E7-D7,"")</f>
        <v/>
      </c>
      <c r="G7" s="43" t="str">
        <f aca="false">IF(AND(D7&lt;&gt;0,E7&lt;&gt;""),F7/D7,"")</f>
        <v/>
      </c>
      <c r="H7" s="44" t="s">
        <v>124</v>
      </c>
      <c r="I7" s="44" t="s">
        <v>130</v>
      </c>
      <c r="J7" s="44"/>
      <c r="K7" s="40" t="s">
        <v>126</v>
      </c>
      <c r="L7" s="44" t="s">
        <v>127</v>
      </c>
      <c r="M7" s="44" t="s">
        <v>128</v>
      </c>
      <c r="N7" s="45"/>
    </row>
    <row r="8" customFormat="false" ht="18" hidden="false" customHeight="true" outlineLevel="0" collapsed="false">
      <c r="A8" s="32" t="n">
        <v>3</v>
      </c>
      <c r="B8" s="33" t="s">
        <v>131</v>
      </c>
      <c r="C8" s="33" t="s">
        <v>82</v>
      </c>
      <c r="D8" s="34" t="n">
        <v>99</v>
      </c>
      <c r="E8" s="35"/>
      <c r="F8" s="36" t="str">
        <f aca="false">IF(E8&lt;&gt;"",E8-D8,"")</f>
        <v/>
      </c>
      <c r="G8" s="37" t="str">
        <f aca="false">IF(AND(D8&lt;&gt;0,E8&lt;&gt;""),F8/D8,"")</f>
        <v/>
      </c>
      <c r="H8" s="38" t="s">
        <v>124</v>
      </c>
      <c r="I8" s="38"/>
      <c r="J8" s="38"/>
      <c r="K8" s="33" t="s">
        <v>126</v>
      </c>
      <c r="L8" s="38" t="s">
        <v>127</v>
      </c>
      <c r="M8" s="38" t="s">
        <v>128</v>
      </c>
      <c r="N8" s="39"/>
    </row>
    <row r="9" customFormat="false" ht="18" hidden="false" customHeight="true" outlineLevel="0" collapsed="false">
      <c r="A9" s="19" t="n">
        <v>4</v>
      </c>
      <c r="B9" s="40" t="s">
        <v>132</v>
      </c>
      <c r="C9" s="40" t="s">
        <v>82</v>
      </c>
      <c r="D9" s="41" t="n">
        <v>36</v>
      </c>
      <c r="E9" s="35"/>
      <c r="F9" s="42" t="str">
        <f aca="false">IF(E9&lt;&gt;"",E9-D9,"")</f>
        <v/>
      </c>
      <c r="G9" s="43" t="str">
        <f aca="false">IF(AND(D9&lt;&gt;0,E9&lt;&gt;""),F9/D9,"")</f>
        <v/>
      </c>
      <c r="H9" s="44" t="s">
        <v>124</v>
      </c>
      <c r="I9" s="44"/>
      <c r="J9" s="44"/>
      <c r="K9" s="40" t="s">
        <v>126</v>
      </c>
      <c r="L9" s="44" t="s">
        <v>133</v>
      </c>
      <c r="M9" s="44" t="s">
        <v>128</v>
      </c>
      <c r="N9" s="45"/>
    </row>
    <row r="10" customFormat="false" ht="19.5" hidden="false" customHeight="true" outlineLevel="0" collapsed="false">
      <c r="A10" s="31" t="s">
        <v>134</v>
      </c>
      <c r="B10" s="31"/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</row>
    <row r="11" customFormat="false" ht="18" hidden="false" customHeight="true" outlineLevel="0" collapsed="false">
      <c r="A11" s="32" t="n">
        <v>5</v>
      </c>
      <c r="B11" s="33" t="s">
        <v>135</v>
      </c>
      <c r="C11" s="33" t="s">
        <v>84</v>
      </c>
      <c r="D11" s="34" t="n">
        <v>177</v>
      </c>
      <c r="E11" s="35"/>
      <c r="F11" s="36" t="str">
        <f aca="false">IF(E11&lt;&gt;"",E11-D11,"")</f>
        <v/>
      </c>
      <c r="G11" s="37" t="str">
        <f aca="false">IF(AND(D11&lt;&gt;0,E11&lt;&gt;""),F11/D11,"")</f>
        <v/>
      </c>
      <c r="H11" s="38" t="s">
        <v>124</v>
      </c>
      <c r="I11" s="38" t="s">
        <v>136</v>
      </c>
      <c r="J11" s="38"/>
      <c r="K11" s="33" t="s">
        <v>137</v>
      </c>
      <c r="L11" s="38" t="s">
        <v>127</v>
      </c>
      <c r="M11" s="38" t="s">
        <v>128</v>
      </c>
      <c r="N11" s="39"/>
    </row>
    <row r="12" customFormat="false" ht="18" hidden="false" customHeight="true" outlineLevel="0" collapsed="false">
      <c r="A12" s="19" t="n">
        <v>6</v>
      </c>
      <c r="B12" s="40" t="s">
        <v>138</v>
      </c>
      <c r="C12" s="40" t="s">
        <v>84</v>
      </c>
      <c r="D12" s="41" t="n">
        <v>142.84</v>
      </c>
      <c r="E12" s="35"/>
      <c r="F12" s="42" t="str">
        <f aca="false">IF(E12&lt;&gt;"",E12-D12,"")</f>
        <v/>
      </c>
      <c r="G12" s="43" t="str">
        <f aca="false">IF(AND(D12&lt;&gt;0,E12&lt;&gt;""),F12/D12,"")</f>
        <v/>
      </c>
      <c r="H12" s="44" t="s">
        <v>124</v>
      </c>
      <c r="I12" s="44" t="s">
        <v>139</v>
      </c>
      <c r="J12" s="44"/>
      <c r="K12" s="40" t="s">
        <v>126</v>
      </c>
      <c r="L12" s="44" t="s">
        <v>133</v>
      </c>
      <c r="M12" s="44" t="s">
        <v>128</v>
      </c>
      <c r="N12" s="45"/>
    </row>
    <row r="13" customFormat="false" ht="19.5" hidden="false" customHeight="true" outlineLevel="0" collapsed="false">
      <c r="A13" s="31" t="s">
        <v>140</v>
      </c>
      <c r="B13" s="31"/>
      <c r="C13" s="31"/>
      <c r="D13" s="31"/>
      <c r="E13" s="31"/>
      <c r="F13" s="31"/>
      <c r="G13" s="31"/>
      <c r="H13" s="31"/>
      <c r="I13" s="31"/>
      <c r="J13" s="31"/>
      <c r="K13" s="31"/>
      <c r="L13" s="31"/>
      <c r="M13" s="31"/>
      <c r="N13" s="31"/>
    </row>
    <row r="14" customFormat="false" ht="18" hidden="false" customHeight="true" outlineLevel="0" collapsed="false">
      <c r="A14" s="32" t="n">
        <v>7</v>
      </c>
      <c r="B14" s="33" t="s">
        <v>141</v>
      </c>
      <c r="C14" s="33" t="s">
        <v>86</v>
      </c>
      <c r="D14" s="34" t="n">
        <v>2400</v>
      </c>
      <c r="E14" s="35"/>
      <c r="F14" s="36" t="str">
        <f aca="false">IF(E14&lt;&gt;"",E14-D14,"")</f>
        <v/>
      </c>
      <c r="G14" s="37" t="str">
        <f aca="false">IF(AND(D14&lt;&gt;0,E14&lt;&gt;""),F14/D14,"")</f>
        <v/>
      </c>
      <c r="H14" s="38" t="s">
        <v>124</v>
      </c>
      <c r="I14" s="38" t="s">
        <v>125</v>
      </c>
      <c r="J14" s="38"/>
      <c r="K14" s="33" t="s">
        <v>137</v>
      </c>
      <c r="L14" s="38" t="s">
        <v>133</v>
      </c>
      <c r="M14" s="38" t="s">
        <v>128</v>
      </c>
      <c r="N14" s="39"/>
    </row>
    <row r="15" customFormat="false" ht="18" hidden="false" customHeight="true" outlineLevel="0" collapsed="false">
      <c r="A15" s="19" t="n">
        <v>8</v>
      </c>
      <c r="B15" s="40" t="s">
        <v>142</v>
      </c>
      <c r="C15" s="40" t="s">
        <v>86</v>
      </c>
      <c r="D15" s="41" t="n">
        <v>1000</v>
      </c>
      <c r="E15" s="35"/>
      <c r="F15" s="42" t="str">
        <f aca="false">IF(E15&lt;&gt;"",E15-D15,"")</f>
        <v/>
      </c>
      <c r="G15" s="43" t="str">
        <f aca="false">IF(AND(D15&lt;&gt;0,E15&lt;&gt;""),F15/D15,"")</f>
        <v/>
      </c>
      <c r="H15" s="44" t="s">
        <v>124</v>
      </c>
      <c r="I15" s="44"/>
      <c r="J15" s="44"/>
      <c r="K15" s="40" t="s">
        <v>137</v>
      </c>
      <c r="L15" s="44" t="s">
        <v>133</v>
      </c>
      <c r="M15" s="44" t="s">
        <v>128</v>
      </c>
      <c r="N15" s="45"/>
    </row>
    <row r="16" customFormat="false" ht="18" hidden="false" customHeight="true" outlineLevel="0" collapsed="false">
      <c r="A16" s="32" t="n">
        <v>9</v>
      </c>
      <c r="B16" s="33" t="s">
        <v>143</v>
      </c>
      <c r="C16" s="33" t="s">
        <v>86</v>
      </c>
      <c r="D16" s="34" t="n">
        <v>500</v>
      </c>
      <c r="E16" s="35"/>
      <c r="F16" s="36" t="str">
        <f aca="false">IF(E16&lt;&gt;"",E16-D16,"")</f>
        <v/>
      </c>
      <c r="G16" s="37" t="str">
        <f aca="false">IF(AND(D16&lt;&gt;0,E16&lt;&gt;""),F16/D16,"")</f>
        <v/>
      </c>
      <c r="H16" s="38" t="s">
        <v>124</v>
      </c>
      <c r="I16" s="38"/>
      <c r="J16" s="38"/>
      <c r="K16" s="33" t="s">
        <v>137</v>
      </c>
      <c r="L16" s="38" t="s">
        <v>133</v>
      </c>
      <c r="M16" s="38" t="s">
        <v>128</v>
      </c>
      <c r="N16" s="39"/>
    </row>
    <row r="17" customFormat="false" ht="19.5" hidden="false" customHeight="true" outlineLevel="0" collapsed="false">
      <c r="A17" s="31" t="s">
        <v>144</v>
      </c>
      <c r="B17" s="31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</row>
    <row r="18" customFormat="false" ht="18" hidden="false" customHeight="true" outlineLevel="0" collapsed="false">
      <c r="A18" s="32" t="n">
        <v>10</v>
      </c>
      <c r="B18" s="33" t="s">
        <v>145</v>
      </c>
      <c r="C18" s="33" t="s">
        <v>88</v>
      </c>
      <c r="D18" s="34" t="n">
        <v>2500</v>
      </c>
      <c r="E18" s="35"/>
      <c r="F18" s="36" t="str">
        <f aca="false">IF(E18&lt;&gt;"",E18-D18,"")</f>
        <v/>
      </c>
      <c r="G18" s="37" t="str">
        <f aca="false">IF(AND(D18&lt;&gt;0,E18&lt;&gt;""),F18/D18,"")</f>
        <v/>
      </c>
      <c r="H18" s="38" t="s">
        <v>124</v>
      </c>
      <c r="I18" s="38" t="s">
        <v>125</v>
      </c>
      <c r="J18" s="38"/>
      <c r="K18" s="33" t="s">
        <v>137</v>
      </c>
      <c r="L18" s="38" t="s">
        <v>133</v>
      </c>
      <c r="M18" s="38" t="s">
        <v>128</v>
      </c>
      <c r="N18" s="39"/>
    </row>
    <row r="19" customFormat="false" ht="18" hidden="false" customHeight="true" outlineLevel="0" collapsed="false">
      <c r="A19" s="19" t="n">
        <v>11</v>
      </c>
      <c r="B19" s="40" t="s">
        <v>146</v>
      </c>
      <c r="C19" s="40" t="s">
        <v>88</v>
      </c>
      <c r="D19" s="41" t="n">
        <v>220</v>
      </c>
      <c r="E19" s="35"/>
      <c r="F19" s="42" t="str">
        <f aca="false">IF(E19&lt;&gt;"",E19-D19,"")</f>
        <v/>
      </c>
      <c r="G19" s="43" t="str">
        <f aca="false">IF(AND(D19&lt;&gt;0,E19&lt;&gt;""),F19/D19,"")</f>
        <v/>
      </c>
      <c r="H19" s="44" t="s">
        <v>124</v>
      </c>
      <c r="I19" s="44"/>
      <c r="J19" s="44"/>
      <c r="K19" s="40" t="s">
        <v>137</v>
      </c>
      <c r="L19" s="44" t="s">
        <v>133</v>
      </c>
      <c r="M19" s="44" t="s">
        <v>128</v>
      </c>
      <c r="N19" s="45"/>
    </row>
    <row r="20" customFormat="false" ht="19.5" hidden="false" customHeight="true" outlineLevel="0" collapsed="false">
      <c r="A20" s="31" t="s">
        <v>147</v>
      </c>
      <c r="B20" s="31"/>
      <c r="C20" s="31"/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</row>
    <row r="21" customFormat="false" ht="18" hidden="false" customHeight="true" outlineLevel="0" collapsed="false">
      <c r="A21" s="32" t="n">
        <v>12</v>
      </c>
      <c r="B21" s="33" t="s">
        <v>148</v>
      </c>
      <c r="C21" s="33" t="s">
        <v>90</v>
      </c>
      <c r="D21" s="34" t="n">
        <v>200</v>
      </c>
      <c r="E21" s="35"/>
      <c r="F21" s="36" t="str">
        <f aca="false">IF(E21&lt;&gt;"",E21-D21,"")</f>
        <v/>
      </c>
      <c r="G21" s="37" t="str">
        <f aca="false">IF(AND(D21&lt;&gt;0,E21&lt;&gt;""),F21/D21,"")</f>
        <v/>
      </c>
      <c r="H21" s="38" t="s">
        <v>124</v>
      </c>
      <c r="I21" s="38" t="s">
        <v>125</v>
      </c>
      <c r="J21" s="38"/>
      <c r="K21" s="33" t="s">
        <v>137</v>
      </c>
      <c r="L21" s="38" t="s">
        <v>133</v>
      </c>
      <c r="M21" s="38" t="s">
        <v>128</v>
      </c>
      <c r="N21" s="39"/>
    </row>
    <row r="22" customFormat="false" ht="18" hidden="false" customHeight="true" outlineLevel="0" collapsed="false">
      <c r="A22" s="19" t="n">
        <v>13</v>
      </c>
      <c r="B22" s="40" t="s">
        <v>149</v>
      </c>
      <c r="C22" s="40" t="s">
        <v>90</v>
      </c>
      <c r="D22" s="41" t="n">
        <v>22</v>
      </c>
      <c r="E22" s="35"/>
      <c r="F22" s="42" t="str">
        <f aca="false">IF(E22&lt;&gt;"",E22-D22,"")</f>
        <v/>
      </c>
      <c r="G22" s="43" t="str">
        <f aca="false">IF(AND(D22&lt;&gt;0,E22&lt;&gt;""),F22/D22,"")</f>
        <v/>
      </c>
      <c r="H22" s="44" t="s">
        <v>124</v>
      </c>
      <c r="I22" s="44" t="s">
        <v>150</v>
      </c>
      <c r="J22" s="44"/>
      <c r="K22" s="40" t="s">
        <v>126</v>
      </c>
      <c r="L22" s="44" t="s">
        <v>127</v>
      </c>
      <c r="M22" s="44" t="s">
        <v>128</v>
      </c>
      <c r="N22" s="45"/>
    </row>
    <row r="23" customFormat="false" ht="19.5" hidden="false" customHeight="true" outlineLevel="0" collapsed="false">
      <c r="A23" s="31" t="s">
        <v>151</v>
      </c>
      <c r="B23" s="31"/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</row>
    <row r="24" customFormat="false" ht="18" hidden="false" customHeight="true" outlineLevel="0" collapsed="false">
      <c r="A24" s="32" t="n">
        <v>14</v>
      </c>
      <c r="B24" s="33" t="s">
        <v>152</v>
      </c>
      <c r="C24" s="33" t="s">
        <v>93</v>
      </c>
      <c r="D24" s="34" t="n">
        <v>450</v>
      </c>
      <c r="E24" s="35"/>
      <c r="F24" s="36" t="str">
        <f aca="false">IF(E24&lt;&gt;"",E24-D24,"")</f>
        <v/>
      </c>
      <c r="G24" s="37" t="str">
        <f aca="false">IF(AND(D24&lt;&gt;0,E24&lt;&gt;""),F24/D24,"")</f>
        <v/>
      </c>
      <c r="H24" s="38" t="s">
        <v>124</v>
      </c>
      <c r="I24" s="38"/>
      <c r="J24" s="38"/>
      <c r="K24" s="33" t="s">
        <v>137</v>
      </c>
      <c r="L24" s="38" t="s">
        <v>133</v>
      </c>
      <c r="M24" s="38" t="s">
        <v>128</v>
      </c>
      <c r="N24" s="39"/>
    </row>
    <row r="25" customFormat="false" ht="18" hidden="false" customHeight="true" outlineLevel="0" collapsed="false">
      <c r="A25" s="19" t="n">
        <v>15</v>
      </c>
      <c r="B25" s="40" t="s">
        <v>153</v>
      </c>
      <c r="C25" s="40" t="s">
        <v>93</v>
      </c>
      <c r="D25" s="41" t="n">
        <v>20</v>
      </c>
      <c r="E25" s="35"/>
      <c r="F25" s="42" t="str">
        <f aca="false">IF(E25&lt;&gt;"",E25-D25,"")</f>
        <v/>
      </c>
      <c r="G25" s="43" t="str">
        <f aca="false">IF(AND(D25&lt;&gt;0,E25&lt;&gt;""),F25/D25,"")</f>
        <v/>
      </c>
      <c r="H25" s="44" t="s">
        <v>124</v>
      </c>
      <c r="I25" s="44"/>
      <c r="J25" s="44"/>
      <c r="K25" s="40" t="s">
        <v>126</v>
      </c>
      <c r="L25" s="44" t="s">
        <v>133</v>
      </c>
      <c r="M25" s="44" t="s">
        <v>128</v>
      </c>
      <c r="N25" s="45"/>
    </row>
    <row r="27" customFormat="false" ht="24" hidden="false" customHeight="true" outlineLevel="0" collapsed="false">
      <c r="A27" s="46" t="s">
        <v>154</v>
      </c>
      <c r="B27" s="46"/>
      <c r="C27" s="46"/>
      <c r="D27" s="47" t="n">
        <f aca="false">SUMIF(D5:D25,"&gt;0")</f>
        <v>7936.84</v>
      </c>
      <c r="E27" s="47" t="n">
        <f aca="false">SUMIF(E5:E25,"&gt;0")</f>
        <v>0</v>
      </c>
      <c r="F27" s="47" t="n">
        <f aca="false">IF(E27&lt;&gt;"",E27-D27,"")</f>
        <v>-7936.84</v>
      </c>
      <c r="G27" s="48"/>
      <c r="H27" s="48"/>
      <c r="I27" s="48"/>
      <c r="J27" s="48"/>
      <c r="K27" s="48"/>
      <c r="L27" s="48"/>
      <c r="M27" s="48"/>
      <c r="N27" s="48"/>
    </row>
  </sheetData>
  <mergeCells count="10">
    <mergeCell ref="A1:N1"/>
    <mergeCell ref="A2:N2"/>
    <mergeCell ref="A3:C3"/>
    <mergeCell ref="A5:N5"/>
    <mergeCell ref="A10:N10"/>
    <mergeCell ref="A13:N13"/>
    <mergeCell ref="A17:N17"/>
    <mergeCell ref="A20:N20"/>
    <mergeCell ref="A23:N23"/>
    <mergeCell ref="A27:C2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3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28"/>
    <col collapsed="false" customWidth="true" hidden="false" outlineLevel="0" max="3" min="3" style="1" width="22"/>
    <col collapsed="false" customWidth="true" hidden="false" outlineLevel="0" max="4" min="4" style="1" width="16"/>
    <col collapsed="false" customWidth="true" hidden="false" outlineLevel="0" max="6" min="5" style="1" width="12"/>
    <col collapsed="false" customWidth="true" hidden="false" outlineLevel="0" max="8" min="7" style="1" width="10"/>
    <col collapsed="false" customWidth="true" hidden="false" outlineLevel="0" max="9" min="9" style="1" width="12"/>
    <col collapsed="false" customWidth="true" hidden="false" outlineLevel="0" max="10" min="10" style="1" width="10"/>
    <col collapsed="false" customWidth="true" hidden="false" outlineLevel="0" max="11" min="11" style="1" width="20"/>
    <col collapsed="false" customWidth="true" hidden="false" outlineLevel="0" max="13" min="12" style="1" width="10"/>
    <col collapsed="false" customWidth="true" hidden="false" outlineLevel="0" max="14" min="14" style="1" width="22"/>
  </cols>
  <sheetData>
    <row r="1" customFormat="false" ht="31.5" hidden="false" customHeight="true" outlineLevel="0" collapsed="false">
      <c r="A1" s="28" t="s">
        <v>155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</row>
    <row r="2" customFormat="false" ht="15.75" hidden="false" customHeight="true" outlineLevel="0" collapsed="false">
      <c r="A2" s="29" t="s">
        <v>106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</row>
    <row r="3" customFormat="false" ht="21.75" hidden="false" customHeight="true" outlineLevel="0" collapsed="false">
      <c r="A3" s="3" t="s">
        <v>107</v>
      </c>
      <c r="B3" s="3"/>
      <c r="C3" s="3"/>
      <c r="D3" s="30" t="n">
        <f aca="false">D31</f>
        <v>13406</v>
      </c>
      <c r="E3" s="30" t="n">
        <f aca="false">E31</f>
        <v>0</v>
      </c>
      <c r="F3" s="30" t="n">
        <f aca="false">F31</f>
        <v>-13406</v>
      </c>
    </row>
    <row r="4" customFormat="false" ht="30" hidden="false" customHeight="true" outlineLevel="0" collapsed="false">
      <c r="A4" s="17" t="s">
        <v>108</v>
      </c>
      <c r="B4" s="17" t="s">
        <v>109</v>
      </c>
      <c r="C4" s="17" t="s">
        <v>110</v>
      </c>
      <c r="D4" s="17" t="s">
        <v>111</v>
      </c>
      <c r="E4" s="17" t="s">
        <v>112</v>
      </c>
      <c r="F4" s="17" t="s">
        <v>113</v>
      </c>
      <c r="G4" s="17" t="s">
        <v>114</v>
      </c>
      <c r="H4" s="17" t="s">
        <v>115</v>
      </c>
      <c r="I4" s="17" t="s">
        <v>116</v>
      </c>
      <c r="J4" s="17" t="s">
        <v>117</v>
      </c>
      <c r="K4" s="17" t="s">
        <v>118</v>
      </c>
      <c r="L4" s="17" t="s">
        <v>119</v>
      </c>
      <c r="M4" s="17" t="s">
        <v>120</v>
      </c>
      <c r="N4" s="17" t="s">
        <v>121</v>
      </c>
    </row>
    <row r="5" customFormat="false" ht="19.5" hidden="false" customHeight="true" outlineLevel="0" collapsed="false">
      <c r="A5" s="31" t="s">
        <v>156</v>
      </c>
      <c r="B5" s="31"/>
      <c r="C5" s="31"/>
      <c r="D5" s="31"/>
      <c r="E5" s="31"/>
      <c r="F5" s="31"/>
      <c r="G5" s="31"/>
      <c r="H5" s="31"/>
      <c r="I5" s="31"/>
      <c r="J5" s="31"/>
      <c r="K5" s="31"/>
      <c r="L5" s="31"/>
      <c r="M5" s="31"/>
      <c r="N5" s="31"/>
    </row>
    <row r="6" customFormat="false" ht="18" hidden="false" customHeight="true" outlineLevel="0" collapsed="false">
      <c r="A6" s="49" t="n">
        <v>1</v>
      </c>
      <c r="B6" s="50" t="s">
        <v>157</v>
      </c>
      <c r="C6" s="50" t="s">
        <v>83</v>
      </c>
      <c r="D6" s="51" t="n">
        <v>8700</v>
      </c>
      <c r="E6" s="35"/>
      <c r="F6" s="52" t="str">
        <f aca="false">IF(E6&lt;&gt;"",E6-D6,"")</f>
        <v/>
      </c>
      <c r="G6" s="53" t="str">
        <f aca="false">IF(AND(D6&lt;&gt;0,E6&lt;&gt;""),F6/D6,"")</f>
        <v/>
      </c>
      <c r="H6" s="54" t="s">
        <v>124</v>
      </c>
      <c r="I6" s="54" t="s">
        <v>125</v>
      </c>
      <c r="J6" s="54" t="s">
        <v>125</v>
      </c>
      <c r="K6" s="50" t="s">
        <v>158</v>
      </c>
      <c r="L6" s="54" t="s">
        <v>133</v>
      </c>
      <c r="M6" s="54" t="s">
        <v>128</v>
      </c>
      <c r="N6" s="55"/>
    </row>
    <row r="7" customFormat="false" ht="18" hidden="false" customHeight="true" outlineLevel="0" collapsed="false">
      <c r="A7" s="19" t="n">
        <v>2</v>
      </c>
      <c r="B7" s="40" t="s">
        <v>159</v>
      </c>
      <c r="C7" s="40" t="s">
        <v>83</v>
      </c>
      <c r="D7" s="41" t="n">
        <v>300</v>
      </c>
      <c r="E7" s="35"/>
      <c r="F7" s="42" t="str">
        <f aca="false">IF(E7&lt;&gt;"",E7-D7,"")</f>
        <v/>
      </c>
      <c r="G7" s="43" t="str">
        <f aca="false">IF(AND(D7&lt;&gt;0,E7&lt;&gt;""),F7/D7,"")</f>
        <v/>
      </c>
      <c r="H7" s="44" t="s">
        <v>124</v>
      </c>
      <c r="I7" s="44"/>
      <c r="J7" s="44" t="s">
        <v>125</v>
      </c>
      <c r="K7" s="40" t="s">
        <v>158</v>
      </c>
      <c r="L7" s="44" t="s">
        <v>133</v>
      </c>
      <c r="M7" s="44" t="s">
        <v>128</v>
      </c>
      <c r="N7" s="45"/>
    </row>
    <row r="8" customFormat="false" ht="19.5" hidden="false" customHeight="true" outlineLevel="0" collapsed="false">
      <c r="A8" s="31" t="s">
        <v>160</v>
      </c>
      <c r="B8" s="31"/>
      <c r="C8" s="31"/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</row>
    <row r="9" customFormat="false" ht="18" hidden="false" customHeight="true" outlineLevel="0" collapsed="false">
      <c r="A9" s="49" t="n">
        <v>3</v>
      </c>
      <c r="B9" s="50" t="s">
        <v>161</v>
      </c>
      <c r="C9" s="50" t="s">
        <v>87</v>
      </c>
      <c r="D9" s="51" t="n">
        <v>200</v>
      </c>
      <c r="E9" s="35"/>
      <c r="F9" s="52" t="str">
        <f aca="false">IF(E9&lt;&gt;"",E9-D9,"")</f>
        <v/>
      </c>
      <c r="G9" s="53" t="str">
        <f aca="false">IF(AND(D9&lt;&gt;0,E9&lt;&gt;""),F9/D9,"")</f>
        <v/>
      </c>
      <c r="H9" s="54" t="s">
        <v>162</v>
      </c>
      <c r="I9" s="54"/>
      <c r="J9" s="54"/>
      <c r="K9" s="50" t="s">
        <v>163</v>
      </c>
      <c r="L9" s="54" t="s">
        <v>133</v>
      </c>
      <c r="M9" s="54" t="s">
        <v>128</v>
      </c>
      <c r="N9" s="55" t="s">
        <v>164</v>
      </c>
    </row>
    <row r="10" customFormat="false" ht="18" hidden="false" customHeight="true" outlineLevel="0" collapsed="false">
      <c r="A10" s="19" t="n">
        <v>4</v>
      </c>
      <c r="B10" s="40" t="s">
        <v>165</v>
      </c>
      <c r="C10" s="40" t="s">
        <v>87</v>
      </c>
      <c r="D10" s="41" t="n">
        <v>125</v>
      </c>
      <c r="E10" s="35"/>
      <c r="F10" s="42" t="str">
        <f aca="false">IF(E10&lt;&gt;"",E10-D10,"")</f>
        <v/>
      </c>
      <c r="G10" s="43" t="str">
        <f aca="false">IF(AND(D10&lt;&gt;0,E10&lt;&gt;""),F10/D10,"")</f>
        <v/>
      </c>
      <c r="H10" s="44" t="s">
        <v>162</v>
      </c>
      <c r="I10" s="44"/>
      <c r="J10" s="44"/>
      <c r="K10" s="40" t="s">
        <v>163</v>
      </c>
      <c r="L10" s="44" t="s">
        <v>133</v>
      </c>
      <c r="M10" s="44" t="s">
        <v>128</v>
      </c>
      <c r="N10" s="45"/>
    </row>
    <row r="11" customFormat="false" ht="19.5" hidden="false" customHeight="true" outlineLevel="0" collapsed="false">
      <c r="A11" s="31" t="s">
        <v>166</v>
      </c>
      <c r="B11" s="31"/>
      <c r="C11" s="31"/>
      <c r="D11" s="31"/>
      <c r="E11" s="31"/>
      <c r="F11" s="31"/>
      <c r="G11" s="31"/>
      <c r="H11" s="31"/>
      <c r="I11" s="31"/>
      <c r="J11" s="31"/>
      <c r="K11" s="31"/>
      <c r="L11" s="31"/>
      <c r="M11" s="31"/>
      <c r="N11" s="31"/>
    </row>
    <row r="12" customFormat="false" ht="18" hidden="false" customHeight="true" outlineLevel="0" collapsed="false">
      <c r="A12" s="49" t="n">
        <v>5</v>
      </c>
      <c r="B12" s="50" t="s">
        <v>167</v>
      </c>
      <c r="C12" s="50" t="s">
        <v>89</v>
      </c>
      <c r="D12" s="51" t="n">
        <v>379</v>
      </c>
      <c r="E12" s="35"/>
      <c r="F12" s="52" t="str">
        <f aca="false">IF(E12&lt;&gt;"",E12-D12,"")</f>
        <v/>
      </c>
      <c r="G12" s="53" t="str">
        <f aca="false">IF(AND(D12&lt;&gt;0,E12&lt;&gt;""),F12/D12,"")</f>
        <v/>
      </c>
      <c r="H12" s="54" t="s">
        <v>124</v>
      </c>
      <c r="I12" s="54"/>
      <c r="J12" s="54" t="s">
        <v>168</v>
      </c>
      <c r="K12" s="50" t="s">
        <v>169</v>
      </c>
      <c r="L12" s="54" t="s">
        <v>133</v>
      </c>
      <c r="M12" s="54" t="s">
        <v>128</v>
      </c>
      <c r="N12" s="55"/>
    </row>
    <row r="13" customFormat="false" ht="18" hidden="false" customHeight="true" outlineLevel="0" collapsed="false">
      <c r="A13" s="19" t="n">
        <v>6</v>
      </c>
      <c r="B13" s="40" t="s">
        <v>170</v>
      </c>
      <c r="C13" s="40" t="s">
        <v>89</v>
      </c>
      <c r="D13" s="41" t="n">
        <v>49</v>
      </c>
      <c r="E13" s="35"/>
      <c r="F13" s="42" t="str">
        <f aca="false">IF(E13&lt;&gt;"",E13-D13,"")</f>
        <v/>
      </c>
      <c r="G13" s="43" t="str">
        <f aca="false">IF(AND(D13&lt;&gt;0,E13&lt;&gt;""),F13/D13,"")</f>
        <v/>
      </c>
      <c r="H13" s="44" t="s">
        <v>124</v>
      </c>
      <c r="I13" s="44"/>
      <c r="J13" s="44" t="s">
        <v>125</v>
      </c>
      <c r="K13" s="40" t="s">
        <v>169</v>
      </c>
      <c r="L13" s="44" t="s">
        <v>133</v>
      </c>
      <c r="M13" s="44" t="s">
        <v>128</v>
      </c>
      <c r="N13" s="45"/>
    </row>
    <row r="14" customFormat="false" ht="19.5" hidden="false" customHeight="true" outlineLevel="0" collapsed="false">
      <c r="A14" s="31" t="s">
        <v>134</v>
      </c>
      <c r="B14" s="31"/>
      <c r="C14" s="31"/>
      <c r="D14" s="31"/>
      <c r="E14" s="31"/>
      <c r="F14" s="31"/>
      <c r="G14" s="31"/>
      <c r="H14" s="31"/>
      <c r="I14" s="31"/>
      <c r="J14" s="31"/>
      <c r="K14" s="31"/>
      <c r="L14" s="31"/>
      <c r="M14" s="31"/>
      <c r="N14" s="31"/>
    </row>
    <row r="15" customFormat="false" ht="18" hidden="false" customHeight="true" outlineLevel="0" collapsed="false">
      <c r="A15" s="49" t="n">
        <v>7</v>
      </c>
      <c r="B15" s="50" t="s">
        <v>171</v>
      </c>
      <c r="C15" s="50" t="s">
        <v>84</v>
      </c>
      <c r="D15" s="51" t="n">
        <v>310</v>
      </c>
      <c r="E15" s="35"/>
      <c r="F15" s="52" t="str">
        <f aca="false">IF(E15&lt;&gt;"",E15-D15,"")</f>
        <v/>
      </c>
      <c r="G15" s="53" t="str">
        <f aca="false">IF(AND(D15&lt;&gt;0,E15&lt;&gt;""),F15/D15,"")</f>
        <v/>
      </c>
      <c r="H15" s="54" t="s">
        <v>124</v>
      </c>
      <c r="I15" s="54" t="s">
        <v>172</v>
      </c>
      <c r="J15" s="54"/>
      <c r="K15" s="50" t="s">
        <v>137</v>
      </c>
      <c r="L15" s="54" t="s">
        <v>127</v>
      </c>
      <c r="M15" s="54" t="s">
        <v>128</v>
      </c>
      <c r="N15" s="55"/>
    </row>
    <row r="16" customFormat="false" ht="18" hidden="false" customHeight="true" outlineLevel="0" collapsed="false">
      <c r="A16" s="19" t="n">
        <v>8</v>
      </c>
      <c r="B16" s="40" t="s">
        <v>173</v>
      </c>
      <c r="C16" s="40" t="s">
        <v>84</v>
      </c>
      <c r="D16" s="41" t="n">
        <v>300</v>
      </c>
      <c r="E16" s="35"/>
      <c r="F16" s="42" t="str">
        <f aca="false">IF(E16&lt;&gt;"",E16-D16,"")</f>
        <v/>
      </c>
      <c r="G16" s="43" t="str">
        <f aca="false">IF(AND(D16&lt;&gt;0,E16&lt;&gt;""),F16/D16,"")</f>
        <v/>
      </c>
      <c r="H16" s="44" t="s">
        <v>124</v>
      </c>
      <c r="I16" s="44"/>
      <c r="J16" s="44"/>
      <c r="K16" s="40"/>
      <c r="L16" s="44" t="s">
        <v>133</v>
      </c>
      <c r="M16" s="44" t="s">
        <v>128</v>
      </c>
      <c r="N16" s="45"/>
    </row>
    <row r="17" customFormat="false" ht="19.5" hidden="false" customHeight="true" outlineLevel="0" collapsed="false">
      <c r="A17" s="31" t="s">
        <v>174</v>
      </c>
      <c r="B17" s="31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</row>
    <row r="18" customFormat="false" ht="18" hidden="false" customHeight="true" outlineLevel="0" collapsed="false">
      <c r="A18" s="49" t="n">
        <v>9</v>
      </c>
      <c r="B18" s="50" t="s">
        <v>175</v>
      </c>
      <c r="C18" s="50" t="s">
        <v>92</v>
      </c>
      <c r="D18" s="51" t="n">
        <v>235</v>
      </c>
      <c r="E18" s="35"/>
      <c r="F18" s="52" t="str">
        <f aca="false">IF(E18&lt;&gt;"",E18-D18,"")</f>
        <v/>
      </c>
      <c r="G18" s="53" t="str">
        <f aca="false">IF(AND(D18&lt;&gt;0,E18&lt;&gt;""),F18/D18,"")</f>
        <v/>
      </c>
      <c r="H18" s="54" t="s">
        <v>162</v>
      </c>
      <c r="I18" s="54"/>
      <c r="J18" s="54"/>
      <c r="K18" s="50" t="s">
        <v>158</v>
      </c>
      <c r="L18" s="54" t="s">
        <v>133</v>
      </c>
      <c r="M18" s="54" t="s">
        <v>128</v>
      </c>
      <c r="N18" s="55"/>
    </row>
    <row r="19" customFormat="false" ht="18" hidden="false" customHeight="true" outlineLevel="0" collapsed="false">
      <c r="A19" s="19" t="n">
        <v>10</v>
      </c>
      <c r="B19" s="40" t="s">
        <v>176</v>
      </c>
      <c r="C19" s="40" t="s">
        <v>92</v>
      </c>
      <c r="D19" s="41" t="n">
        <v>183</v>
      </c>
      <c r="E19" s="35"/>
      <c r="F19" s="42" t="str">
        <f aca="false">IF(E19&lt;&gt;"",E19-D19,"")</f>
        <v/>
      </c>
      <c r="G19" s="43" t="str">
        <f aca="false">IF(AND(D19&lt;&gt;0,E19&lt;&gt;""),F19/D19,"")</f>
        <v/>
      </c>
      <c r="H19" s="44" t="s">
        <v>124</v>
      </c>
      <c r="I19" s="44"/>
      <c r="J19" s="44" t="s">
        <v>177</v>
      </c>
      <c r="K19" s="40" t="s">
        <v>158</v>
      </c>
      <c r="L19" s="44" t="s">
        <v>133</v>
      </c>
      <c r="M19" s="44" t="s">
        <v>128</v>
      </c>
      <c r="N19" s="45"/>
    </row>
    <row r="20" customFormat="false" ht="19.5" hidden="false" customHeight="true" outlineLevel="0" collapsed="false">
      <c r="A20" s="31" t="s">
        <v>178</v>
      </c>
      <c r="B20" s="31"/>
      <c r="C20" s="31"/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</row>
    <row r="21" customFormat="false" ht="18" hidden="false" customHeight="true" outlineLevel="0" collapsed="false">
      <c r="A21" s="49" t="n">
        <v>11</v>
      </c>
      <c r="B21" s="50" t="s">
        <v>179</v>
      </c>
      <c r="C21" s="50" t="s">
        <v>98</v>
      </c>
      <c r="D21" s="51" t="n">
        <v>375</v>
      </c>
      <c r="E21" s="35"/>
      <c r="F21" s="52" t="str">
        <f aca="false">IF(E21&lt;&gt;"",E21-D21,"")</f>
        <v/>
      </c>
      <c r="G21" s="53" t="str">
        <f aca="false">IF(AND(D21&lt;&gt;0,E21&lt;&gt;""),F21/D21,"")</f>
        <v/>
      </c>
      <c r="H21" s="54" t="s">
        <v>162</v>
      </c>
      <c r="I21" s="54"/>
      <c r="J21" s="54"/>
      <c r="K21" s="50" t="s">
        <v>180</v>
      </c>
      <c r="L21" s="54" t="s">
        <v>133</v>
      </c>
      <c r="M21" s="54" t="s">
        <v>128</v>
      </c>
      <c r="N21" s="55" t="s">
        <v>181</v>
      </c>
    </row>
    <row r="22" customFormat="false" ht="18" hidden="false" customHeight="true" outlineLevel="0" collapsed="false">
      <c r="A22" s="19" t="n">
        <v>12</v>
      </c>
      <c r="B22" s="40" t="s">
        <v>182</v>
      </c>
      <c r="C22" s="40" t="s">
        <v>98</v>
      </c>
      <c r="D22" s="41" t="n">
        <v>1500</v>
      </c>
      <c r="E22" s="35"/>
      <c r="F22" s="42" t="str">
        <f aca="false">IF(E22&lt;&gt;"",E22-D22,"")</f>
        <v/>
      </c>
      <c r="G22" s="43" t="str">
        <f aca="false">IF(AND(D22&lt;&gt;0,E22&lt;&gt;""),F22/D22,"")</f>
        <v/>
      </c>
      <c r="H22" s="44" t="s">
        <v>124</v>
      </c>
      <c r="I22" s="44"/>
      <c r="J22" s="44"/>
      <c r="K22" s="40" t="s">
        <v>183</v>
      </c>
      <c r="L22" s="44" t="s">
        <v>133</v>
      </c>
      <c r="M22" s="44" t="s">
        <v>128</v>
      </c>
      <c r="N22" s="45"/>
    </row>
    <row r="23" customFormat="false" ht="19.5" hidden="false" customHeight="true" outlineLevel="0" collapsed="false">
      <c r="A23" s="31" t="s">
        <v>184</v>
      </c>
      <c r="B23" s="31"/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</row>
    <row r="24" customFormat="false" ht="18" hidden="false" customHeight="true" outlineLevel="0" collapsed="false">
      <c r="A24" s="49" t="n">
        <v>13</v>
      </c>
      <c r="B24" s="50" t="s">
        <v>185</v>
      </c>
      <c r="C24" s="50" t="s">
        <v>96</v>
      </c>
      <c r="D24" s="51" t="n">
        <v>500</v>
      </c>
      <c r="E24" s="35"/>
      <c r="F24" s="52" t="str">
        <f aca="false">IF(E24&lt;&gt;"",E24-D24,"")</f>
        <v/>
      </c>
      <c r="G24" s="53" t="str">
        <f aca="false">IF(AND(D24&lt;&gt;0,E24&lt;&gt;""),F24/D24,"")</f>
        <v/>
      </c>
      <c r="H24" s="54" t="s">
        <v>162</v>
      </c>
      <c r="I24" s="54"/>
      <c r="J24" s="54"/>
      <c r="K24" s="50" t="s">
        <v>158</v>
      </c>
      <c r="L24" s="54" t="s">
        <v>133</v>
      </c>
      <c r="M24" s="54" t="s">
        <v>128</v>
      </c>
      <c r="N24" s="55"/>
    </row>
    <row r="25" customFormat="false" ht="19.5" hidden="false" customHeight="true" outlineLevel="0" collapsed="false">
      <c r="A25" s="31" t="s">
        <v>186</v>
      </c>
      <c r="B25" s="31"/>
      <c r="C25" s="31"/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</row>
    <row r="26" customFormat="false" ht="18" hidden="false" customHeight="true" outlineLevel="0" collapsed="false">
      <c r="A26" s="49" t="n">
        <v>14</v>
      </c>
      <c r="B26" s="50" t="s">
        <v>187</v>
      </c>
      <c r="C26" s="50" t="s">
        <v>100</v>
      </c>
      <c r="D26" s="51" t="n">
        <v>185</v>
      </c>
      <c r="E26" s="35"/>
      <c r="F26" s="52" t="str">
        <f aca="false">IF(E26&lt;&gt;"",E26-D26,"")</f>
        <v/>
      </c>
      <c r="G26" s="53" t="str">
        <f aca="false">IF(AND(D26&lt;&gt;0,E26&lt;&gt;""),F26/D26,"")</f>
        <v/>
      </c>
      <c r="H26" s="54" t="s">
        <v>162</v>
      </c>
      <c r="I26" s="54"/>
      <c r="J26" s="54"/>
      <c r="K26" s="50" t="s">
        <v>163</v>
      </c>
      <c r="L26" s="54" t="s">
        <v>133</v>
      </c>
      <c r="M26" s="54" t="s">
        <v>128</v>
      </c>
      <c r="N26" s="55"/>
    </row>
    <row r="27" customFormat="false" ht="19.5" hidden="false" customHeight="true" outlineLevel="0" collapsed="false">
      <c r="A27" s="31" t="s">
        <v>188</v>
      </c>
      <c r="B27" s="31"/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31"/>
      <c r="N27" s="31"/>
    </row>
    <row r="28" customFormat="false" ht="18" hidden="false" customHeight="true" outlineLevel="0" collapsed="false">
      <c r="A28" s="49" t="n">
        <v>15</v>
      </c>
      <c r="B28" s="50" t="s">
        <v>189</v>
      </c>
      <c r="C28" s="50" t="s">
        <v>94</v>
      </c>
      <c r="D28" s="51" t="n">
        <v>27</v>
      </c>
      <c r="E28" s="35"/>
      <c r="F28" s="52" t="str">
        <f aca="false">IF(E28&lt;&gt;"",E28-D28,"")</f>
        <v/>
      </c>
      <c r="G28" s="53" t="str">
        <f aca="false">IF(AND(D28&lt;&gt;0,E28&lt;&gt;""),F28/D28,"")</f>
        <v/>
      </c>
      <c r="H28" s="54" t="s">
        <v>124</v>
      </c>
      <c r="I28" s="54"/>
      <c r="J28" s="54"/>
      <c r="K28" s="50" t="s">
        <v>163</v>
      </c>
      <c r="L28" s="54" t="s">
        <v>133</v>
      </c>
      <c r="M28" s="54" t="s">
        <v>128</v>
      </c>
      <c r="N28" s="55"/>
    </row>
    <row r="29" customFormat="false" ht="18" hidden="false" customHeight="true" outlineLevel="0" collapsed="false">
      <c r="A29" s="19" t="n">
        <v>16</v>
      </c>
      <c r="B29" s="40" t="s">
        <v>190</v>
      </c>
      <c r="C29" s="40" t="s">
        <v>94</v>
      </c>
      <c r="D29" s="41" t="n">
        <v>38</v>
      </c>
      <c r="E29" s="35"/>
      <c r="F29" s="42" t="str">
        <f aca="false">IF(E29&lt;&gt;"",E29-D29,"")</f>
        <v/>
      </c>
      <c r="G29" s="43" t="str">
        <f aca="false">IF(AND(D29&lt;&gt;0,E29&lt;&gt;""),F29/D29,"")</f>
        <v/>
      </c>
      <c r="H29" s="44" t="s">
        <v>124</v>
      </c>
      <c r="I29" s="44"/>
      <c r="J29" s="44"/>
      <c r="K29" s="40" t="s">
        <v>169</v>
      </c>
      <c r="L29" s="44" t="s">
        <v>133</v>
      </c>
      <c r="M29" s="44" t="s">
        <v>128</v>
      </c>
      <c r="N29" s="45"/>
    </row>
    <row r="31" customFormat="false" ht="24" hidden="false" customHeight="true" outlineLevel="0" collapsed="false">
      <c r="A31" s="46" t="s">
        <v>154</v>
      </c>
      <c r="B31" s="46"/>
      <c r="C31" s="46"/>
      <c r="D31" s="47" t="n">
        <f aca="false">SUMIF(D5:D29,"&gt;0")</f>
        <v>13406</v>
      </c>
      <c r="E31" s="47" t="n">
        <f aca="false">SUMIF(E5:E29,"&gt;0")</f>
        <v>0</v>
      </c>
      <c r="F31" s="47" t="n">
        <f aca="false">IF(E31&lt;&gt;"",E31-D31,"")</f>
        <v>-13406</v>
      </c>
      <c r="G31" s="48"/>
      <c r="H31" s="48"/>
      <c r="I31" s="48"/>
      <c r="J31" s="48"/>
      <c r="K31" s="48"/>
      <c r="L31" s="48"/>
      <c r="M31" s="48"/>
      <c r="N31" s="48"/>
    </row>
  </sheetData>
  <mergeCells count="13">
    <mergeCell ref="A1:N1"/>
    <mergeCell ref="A2:N2"/>
    <mergeCell ref="A3:C3"/>
    <mergeCell ref="A5:N5"/>
    <mergeCell ref="A8:N8"/>
    <mergeCell ref="A11:N11"/>
    <mergeCell ref="A14:N14"/>
    <mergeCell ref="A17:N17"/>
    <mergeCell ref="A20:N20"/>
    <mergeCell ref="A23:N23"/>
    <mergeCell ref="A25:N25"/>
    <mergeCell ref="A27:N27"/>
    <mergeCell ref="A31:C3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8"/>
    <col collapsed="false" customWidth="true" hidden="false" outlineLevel="0" max="8" min="2" style="1" width="18"/>
  </cols>
  <sheetData>
    <row r="1" customFormat="false" ht="27.75" hidden="false" customHeight="true" outlineLevel="0" collapsed="false">
      <c r="A1" s="2" t="s">
        <v>191</v>
      </c>
      <c r="B1" s="2"/>
      <c r="C1" s="2"/>
      <c r="D1" s="2"/>
      <c r="E1" s="2"/>
      <c r="F1" s="2"/>
      <c r="G1" s="2"/>
      <c r="H1" s="2"/>
    </row>
    <row r="2" customFormat="false" ht="27.75" hidden="false" customHeight="true" outlineLevel="0" collapsed="false">
      <c r="A2" s="56" t="s">
        <v>192</v>
      </c>
      <c r="B2" s="56"/>
      <c r="C2" s="56"/>
      <c r="D2" s="56"/>
      <c r="E2" s="56"/>
      <c r="F2" s="56"/>
      <c r="G2" s="56"/>
      <c r="H2" s="56"/>
    </row>
    <row r="3" customFormat="false" ht="9.75" hidden="false" customHeight="true" outlineLevel="0" collapsed="false"/>
    <row r="4" customFormat="false" ht="30" hidden="false" customHeight="true" outlineLevel="0" collapsed="false">
      <c r="A4" s="57" t="s">
        <v>193</v>
      </c>
      <c r="B4" s="57" t="s">
        <v>194</v>
      </c>
      <c r="C4" s="57" t="s">
        <v>195</v>
      </c>
      <c r="D4" s="57" t="s">
        <v>196</v>
      </c>
      <c r="E4" s="57" t="s">
        <v>197</v>
      </c>
      <c r="F4" s="57" t="s">
        <v>198</v>
      </c>
    </row>
    <row r="5" customFormat="false" ht="36" hidden="false" customHeight="true" outlineLevel="0" collapsed="false">
      <c r="A5" s="58" t="n">
        <f aca="false">'BIZ Budget'!D27</f>
        <v>7936.84</v>
      </c>
      <c r="B5" s="58" t="n">
        <f aca="false">'BIZ Budget'!E27</f>
        <v>0</v>
      </c>
      <c r="C5" s="58" t="n">
        <f aca="false">'PERSONAL Budget'!D31</f>
        <v>13406</v>
      </c>
      <c r="D5" s="58" t="n">
        <f aca="false">'PERSONAL Budget'!E31</f>
        <v>0</v>
      </c>
      <c r="E5" s="58" t="n">
        <f aca="false">'BIZ Budget'!D27+'PERSONAL Budget'!D31</f>
        <v>21342.84</v>
      </c>
      <c r="F5" s="58" t="n">
        <f aca="false">'BIZ Budget'!E27+'PERSONAL Budget'!E31</f>
        <v>0</v>
      </c>
    </row>
    <row r="6" customFormat="false" ht="9.75" hidden="false" customHeight="true" outlineLevel="0" collapsed="false"/>
    <row r="7" customFormat="false" ht="27.75" hidden="false" customHeight="true" outlineLevel="0" collapsed="false">
      <c r="A7" s="3" t="s">
        <v>199</v>
      </c>
      <c r="B7" s="3"/>
      <c r="C7" s="3"/>
      <c r="D7" s="3"/>
      <c r="E7" s="3"/>
      <c r="F7" s="3"/>
      <c r="G7" s="3"/>
      <c r="H7" s="3"/>
    </row>
    <row r="8" customFormat="false" ht="30" hidden="false" customHeight="true" outlineLevel="0" collapsed="false">
      <c r="A8" s="17" t="s">
        <v>110</v>
      </c>
      <c r="B8" s="17" t="s">
        <v>200</v>
      </c>
      <c r="C8" s="17" t="s">
        <v>201</v>
      </c>
      <c r="D8" s="17" t="s">
        <v>202</v>
      </c>
      <c r="E8" s="17" t="s">
        <v>203</v>
      </c>
      <c r="F8" s="17" t="s">
        <v>204</v>
      </c>
      <c r="G8" s="17" t="s">
        <v>205</v>
      </c>
      <c r="H8" s="17" t="s">
        <v>206</v>
      </c>
    </row>
    <row r="9" customFormat="false" ht="18" hidden="false" customHeight="true" outlineLevel="0" collapsed="false">
      <c r="A9" s="59" t="s">
        <v>82</v>
      </c>
      <c r="B9" s="60" t="s">
        <v>207</v>
      </c>
      <c r="C9" s="60" t="s">
        <v>207</v>
      </c>
      <c r="D9" s="61" t="s">
        <v>207</v>
      </c>
      <c r="E9" s="60" t="s">
        <v>207</v>
      </c>
      <c r="F9" s="60" t="s">
        <v>207</v>
      </c>
      <c r="G9" s="61" t="s">
        <v>207</v>
      </c>
      <c r="H9" s="60" t="s">
        <v>207</v>
      </c>
    </row>
    <row r="10" customFormat="false" ht="18" hidden="false" customHeight="true" outlineLevel="0" collapsed="false">
      <c r="A10" s="62" t="s">
        <v>84</v>
      </c>
      <c r="B10" s="63" t="s">
        <v>207</v>
      </c>
      <c r="C10" s="63" t="s">
        <v>207</v>
      </c>
      <c r="D10" s="64" t="s">
        <v>207</v>
      </c>
      <c r="E10" s="63" t="s">
        <v>207</v>
      </c>
      <c r="F10" s="63" t="s">
        <v>207</v>
      </c>
      <c r="G10" s="64" t="s">
        <v>207</v>
      </c>
      <c r="H10" s="63" t="s">
        <v>207</v>
      </c>
    </row>
    <row r="11" customFormat="false" ht="18" hidden="false" customHeight="true" outlineLevel="0" collapsed="false">
      <c r="A11" s="59" t="s">
        <v>86</v>
      </c>
      <c r="B11" s="60" t="s">
        <v>207</v>
      </c>
      <c r="C11" s="60" t="s">
        <v>207</v>
      </c>
      <c r="D11" s="61" t="s">
        <v>207</v>
      </c>
      <c r="E11" s="60" t="s">
        <v>207</v>
      </c>
      <c r="F11" s="60" t="s">
        <v>207</v>
      </c>
      <c r="G11" s="61" t="s">
        <v>207</v>
      </c>
      <c r="H11" s="60" t="s">
        <v>207</v>
      </c>
    </row>
    <row r="12" customFormat="false" ht="18" hidden="false" customHeight="true" outlineLevel="0" collapsed="false">
      <c r="A12" s="62" t="s">
        <v>88</v>
      </c>
      <c r="B12" s="63" t="s">
        <v>207</v>
      </c>
      <c r="C12" s="63" t="s">
        <v>207</v>
      </c>
      <c r="D12" s="64" t="s">
        <v>207</v>
      </c>
      <c r="E12" s="63" t="s">
        <v>207</v>
      </c>
      <c r="F12" s="63" t="s">
        <v>207</v>
      </c>
      <c r="G12" s="64" t="s">
        <v>207</v>
      </c>
      <c r="H12" s="63" t="s">
        <v>207</v>
      </c>
    </row>
    <row r="13" customFormat="false" ht="18" hidden="false" customHeight="true" outlineLevel="0" collapsed="false">
      <c r="A13" s="59" t="s">
        <v>90</v>
      </c>
      <c r="B13" s="60" t="s">
        <v>207</v>
      </c>
      <c r="C13" s="60" t="s">
        <v>207</v>
      </c>
      <c r="D13" s="61" t="s">
        <v>207</v>
      </c>
      <c r="E13" s="60" t="s">
        <v>207</v>
      </c>
      <c r="F13" s="60" t="s">
        <v>207</v>
      </c>
      <c r="G13" s="61" t="s">
        <v>207</v>
      </c>
      <c r="H13" s="60" t="s">
        <v>207</v>
      </c>
    </row>
    <row r="14" customFormat="false" ht="18" hidden="false" customHeight="true" outlineLevel="0" collapsed="false">
      <c r="A14" s="62" t="s">
        <v>91</v>
      </c>
      <c r="B14" s="63" t="s">
        <v>207</v>
      </c>
      <c r="C14" s="63" t="s">
        <v>207</v>
      </c>
      <c r="D14" s="64" t="s">
        <v>207</v>
      </c>
      <c r="E14" s="63" t="s">
        <v>207</v>
      </c>
      <c r="F14" s="63" t="s">
        <v>207</v>
      </c>
      <c r="G14" s="64" t="s">
        <v>207</v>
      </c>
      <c r="H14" s="63" t="s">
        <v>207</v>
      </c>
    </row>
    <row r="15" customFormat="false" ht="18" hidden="false" customHeight="true" outlineLevel="0" collapsed="false">
      <c r="A15" s="59" t="s">
        <v>93</v>
      </c>
      <c r="B15" s="60" t="s">
        <v>207</v>
      </c>
      <c r="C15" s="60" t="s">
        <v>207</v>
      </c>
      <c r="D15" s="61" t="s">
        <v>207</v>
      </c>
      <c r="E15" s="60" t="s">
        <v>207</v>
      </c>
      <c r="F15" s="60" t="s">
        <v>207</v>
      </c>
      <c r="G15" s="61" t="s">
        <v>207</v>
      </c>
      <c r="H15" s="60" t="s">
        <v>207</v>
      </c>
    </row>
    <row r="16" customFormat="false" ht="18" hidden="false" customHeight="true" outlineLevel="0" collapsed="false">
      <c r="A16" s="62" t="s">
        <v>95</v>
      </c>
      <c r="B16" s="63" t="s">
        <v>207</v>
      </c>
      <c r="C16" s="63" t="s">
        <v>207</v>
      </c>
      <c r="D16" s="64" t="s">
        <v>207</v>
      </c>
      <c r="E16" s="63" t="s">
        <v>207</v>
      </c>
      <c r="F16" s="63" t="s">
        <v>207</v>
      </c>
      <c r="G16" s="64" t="s">
        <v>207</v>
      </c>
      <c r="H16" s="63" t="s">
        <v>207</v>
      </c>
    </row>
    <row r="17" customFormat="false" ht="18" hidden="false" customHeight="true" outlineLevel="0" collapsed="false">
      <c r="A17" s="59" t="s">
        <v>99</v>
      </c>
      <c r="B17" s="60" t="s">
        <v>207</v>
      </c>
      <c r="C17" s="60" t="s">
        <v>207</v>
      </c>
      <c r="D17" s="61" t="s">
        <v>207</v>
      </c>
      <c r="E17" s="60" t="s">
        <v>207</v>
      </c>
      <c r="F17" s="60" t="s">
        <v>207</v>
      </c>
      <c r="G17" s="61" t="s">
        <v>207</v>
      </c>
      <c r="H17" s="60" t="s">
        <v>207</v>
      </c>
    </row>
    <row r="18" customFormat="false" ht="18" hidden="false" customHeight="true" outlineLevel="0" collapsed="false">
      <c r="A18" s="62" t="s">
        <v>101</v>
      </c>
      <c r="B18" s="63" t="s">
        <v>207</v>
      </c>
      <c r="C18" s="63" t="s">
        <v>207</v>
      </c>
      <c r="D18" s="64" t="s">
        <v>207</v>
      </c>
      <c r="E18" s="63" t="s">
        <v>207</v>
      </c>
      <c r="F18" s="63" t="s">
        <v>207</v>
      </c>
      <c r="G18" s="64" t="s">
        <v>207</v>
      </c>
      <c r="H18" s="63" t="s">
        <v>207</v>
      </c>
    </row>
    <row r="19" customFormat="false" ht="18" hidden="false" customHeight="true" outlineLevel="0" collapsed="false">
      <c r="A19" s="59" t="s">
        <v>98</v>
      </c>
      <c r="B19" s="60" t="s">
        <v>207</v>
      </c>
      <c r="C19" s="60" t="s">
        <v>207</v>
      </c>
      <c r="D19" s="61" t="s">
        <v>207</v>
      </c>
      <c r="E19" s="60" t="s">
        <v>207</v>
      </c>
      <c r="F19" s="60" t="s">
        <v>207</v>
      </c>
      <c r="G19" s="61" t="s">
        <v>207</v>
      </c>
      <c r="H19" s="60" t="s">
        <v>207</v>
      </c>
    </row>
    <row r="20" customFormat="false" ht="18" hidden="false" customHeight="true" outlineLevel="0" collapsed="false">
      <c r="A20" s="62" t="s">
        <v>208</v>
      </c>
      <c r="B20" s="63" t="s">
        <v>207</v>
      </c>
      <c r="C20" s="63" t="s">
        <v>207</v>
      </c>
      <c r="D20" s="64" t="s">
        <v>207</v>
      </c>
      <c r="E20" s="63" t="s">
        <v>207</v>
      </c>
      <c r="F20" s="63" t="s">
        <v>207</v>
      </c>
      <c r="G20" s="64" t="s">
        <v>207</v>
      </c>
      <c r="H20" s="63" t="s">
        <v>207</v>
      </c>
    </row>
    <row r="22" customFormat="false" ht="21.75" hidden="false" customHeight="true" outlineLevel="0" collapsed="false">
      <c r="A22" s="65" t="s">
        <v>209</v>
      </c>
      <c r="B22" s="65"/>
      <c r="C22" s="65"/>
      <c r="D22" s="65"/>
      <c r="E22" s="65"/>
      <c r="F22" s="65"/>
      <c r="G22" s="65"/>
      <c r="H22" s="65"/>
    </row>
    <row r="24" customFormat="false" ht="27.75" hidden="false" customHeight="true" outlineLevel="0" collapsed="false">
      <c r="A24" s="66" t="s">
        <v>210</v>
      </c>
      <c r="B24" s="66"/>
      <c r="C24" s="66"/>
      <c r="D24" s="66"/>
      <c r="E24" s="66"/>
      <c r="F24" s="66"/>
      <c r="G24" s="66"/>
      <c r="H24" s="66"/>
    </row>
    <row r="25" customFormat="false" ht="30" hidden="false" customHeight="true" outlineLevel="0" collapsed="false">
      <c r="A25" s="17" t="s">
        <v>118</v>
      </c>
      <c r="B25" s="17" t="s">
        <v>211</v>
      </c>
      <c r="C25" s="17" t="s">
        <v>212</v>
      </c>
      <c r="D25" s="17" t="s">
        <v>213</v>
      </c>
      <c r="E25" s="17"/>
      <c r="F25" s="17"/>
      <c r="G25" s="17"/>
      <c r="H25" s="17"/>
    </row>
    <row r="26" customFormat="false" ht="18" hidden="false" customHeight="true" outlineLevel="0" collapsed="false">
      <c r="A26" s="67" t="s">
        <v>214</v>
      </c>
      <c r="B26" s="68" t="s">
        <v>207</v>
      </c>
      <c r="C26" s="68" t="s">
        <v>207</v>
      </c>
      <c r="D26" s="68" t="s">
        <v>207</v>
      </c>
      <c r="E26" s="68"/>
      <c r="F26" s="68"/>
      <c r="G26" s="68"/>
      <c r="H26" s="68"/>
    </row>
    <row r="27" customFormat="false" ht="18" hidden="false" customHeight="true" outlineLevel="0" collapsed="false">
      <c r="A27" s="62" t="s">
        <v>215</v>
      </c>
      <c r="B27" s="64" t="s">
        <v>207</v>
      </c>
      <c r="C27" s="64" t="s">
        <v>207</v>
      </c>
      <c r="D27" s="64" t="s">
        <v>207</v>
      </c>
      <c r="E27" s="64"/>
      <c r="F27" s="64"/>
      <c r="G27" s="64"/>
      <c r="H27" s="64"/>
    </row>
    <row r="28" customFormat="false" ht="18" hidden="false" customHeight="true" outlineLevel="0" collapsed="false">
      <c r="A28" s="67" t="s">
        <v>216</v>
      </c>
      <c r="B28" s="68" t="s">
        <v>207</v>
      </c>
      <c r="C28" s="68" t="s">
        <v>207</v>
      </c>
      <c r="D28" s="68" t="s">
        <v>207</v>
      </c>
      <c r="E28" s="68"/>
      <c r="F28" s="68"/>
      <c r="G28" s="68"/>
      <c r="H28" s="68"/>
    </row>
    <row r="29" customFormat="false" ht="18" hidden="false" customHeight="true" outlineLevel="0" collapsed="false">
      <c r="A29" s="62" t="s">
        <v>217</v>
      </c>
      <c r="B29" s="64" t="s">
        <v>207</v>
      </c>
      <c r="C29" s="64" t="s">
        <v>207</v>
      </c>
      <c r="D29" s="64" t="s">
        <v>207</v>
      </c>
      <c r="E29" s="64"/>
      <c r="F29" s="64"/>
      <c r="G29" s="64"/>
      <c r="H29" s="64"/>
    </row>
    <row r="30" customFormat="false" ht="18" hidden="false" customHeight="true" outlineLevel="0" collapsed="false">
      <c r="A30" s="67" t="s">
        <v>218</v>
      </c>
      <c r="B30" s="68" t="s">
        <v>207</v>
      </c>
      <c r="C30" s="68" t="s">
        <v>207</v>
      </c>
      <c r="D30" s="68" t="s">
        <v>207</v>
      </c>
      <c r="E30" s="68"/>
      <c r="F30" s="68"/>
      <c r="G30" s="68"/>
      <c r="H30" s="68"/>
    </row>
    <row r="31" customFormat="false" ht="18" hidden="false" customHeight="true" outlineLevel="0" collapsed="false">
      <c r="A31" s="62" t="s">
        <v>219</v>
      </c>
      <c r="B31" s="64" t="s">
        <v>207</v>
      </c>
      <c r="C31" s="64" t="s">
        <v>207</v>
      </c>
      <c r="D31" s="64" t="s">
        <v>207</v>
      </c>
      <c r="E31" s="64"/>
      <c r="F31" s="64"/>
      <c r="G31" s="64"/>
      <c r="H31" s="64"/>
    </row>
    <row r="32" customFormat="false" ht="18" hidden="false" customHeight="true" outlineLevel="0" collapsed="false">
      <c r="A32" s="67" t="s">
        <v>220</v>
      </c>
      <c r="B32" s="68" t="s">
        <v>207</v>
      </c>
      <c r="C32" s="68" t="s">
        <v>207</v>
      </c>
      <c r="D32" s="68" t="s">
        <v>207</v>
      </c>
      <c r="E32" s="68"/>
      <c r="F32" s="68"/>
      <c r="G32" s="68"/>
      <c r="H32" s="68"/>
    </row>
  </sheetData>
  <mergeCells count="13">
    <mergeCell ref="A1:H1"/>
    <mergeCell ref="A2:H2"/>
    <mergeCell ref="A7:H7"/>
    <mergeCell ref="A22:H22"/>
    <mergeCell ref="A24:H24"/>
    <mergeCell ref="D25:H25"/>
    <mergeCell ref="D26:H26"/>
    <mergeCell ref="D27:H27"/>
    <mergeCell ref="D28:H28"/>
    <mergeCell ref="D29:H29"/>
    <mergeCell ref="D30:H30"/>
    <mergeCell ref="D31:H31"/>
    <mergeCell ref="D32:H3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22"/>
    <col collapsed="false" customWidth="true" hidden="false" outlineLevel="0" max="3" min="3" style="1" width="15"/>
    <col collapsed="false" customWidth="true" hidden="false" outlineLevel="0" max="4" min="4" style="1" width="22"/>
    <col collapsed="false" customWidth="true" hidden="false" outlineLevel="0" max="5" min="5" style="1" width="10"/>
    <col collapsed="false" customWidth="true" hidden="false" outlineLevel="0" max="6" min="6" style="1" width="25"/>
  </cols>
  <sheetData>
    <row r="1" customFormat="false" ht="27.75" hidden="false" customHeight="true" outlineLevel="0" collapsed="false">
      <c r="A1" s="2" t="s">
        <v>221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</row>
    <row r="2" customFormat="false" ht="27.75" hidden="false" customHeight="true" outlineLevel="0" collapsed="false">
      <c r="A2" s="56" t="s">
        <v>222</v>
      </c>
      <c r="B2" s="56"/>
      <c r="C2" s="56"/>
      <c r="D2" s="56"/>
      <c r="E2" s="56"/>
      <c r="F2" s="56"/>
      <c r="G2" s="56"/>
      <c r="H2" s="56"/>
      <c r="I2" s="56"/>
      <c r="J2" s="56"/>
      <c r="K2" s="56"/>
      <c r="L2" s="56"/>
      <c r="M2" s="56"/>
      <c r="N2" s="56"/>
      <c r="O2" s="56"/>
      <c r="P2" s="56"/>
      <c r="Q2" s="56"/>
      <c r="R2" s="56"/>
      <c r="S2" s="56"/>
      <c r="T2" s="56"/>
    </row>
    <row r="3" customFormat="false" ht="30" hidden="false" customHeight="true" outlineLevel="0" collapsed="false">
      <c r="A3" s="17" t="s">
        <v>109</v>
      </c>
      <c r="B3" s="17" t="s">
        <v>110</v>
      </c>
      <c r="C3" s="17" t="s">
        <v>223</v>
      </c>
      <c r="D3" s="17" t="s">
        <v>224</v>
      </c>
      <c r="E3" s="17" t="s">
        <v>119</v>
      </c>
      <c r="F3" s="17" t="s">
        <v>121</v>
      </c>
    </row>
    <row r="4" customFormat="false" ht="24" hidden="false" customHeight="true" outlineLevel="0" collapsed="false">
      <c r="A4" s="69" t="s">
        <v>225</v>
      </c>
      <c r="B4" s="69"/>
      <c r="C4" s="69"/>
      <c r="D4" s="69"/>
      <c r="E4" s="69"/>
      <c r="F4" s="69"/>
    </row>
    <row r="5" customFormat="false" ht="18" hidden="false" customHeight="true" outlineLevel="0" collapsed="false">
      <c r="A5" s="70" t="s">
        <v>226</v>
      </c>
      <c r="B5" s="70" t="s">
        <v>82</v>
      </c>
      <c r="C5" s="71" t="n">
        <v>120</v>
      </c>
      <c r="D5" s="70" t="s">
        <v>126</v>
      </c>
      <c r="E5" s="70" t="s">
        <v>127</v>
      </c>
      <c r="F5" s="70"/>
    </row>
    <row r="6" customFormat="false" ht="18" hidden="false" customHeight="true" outlineLevel="0" collapsed="false">
      <c r="A6" s="72" t="s">
        <v>227</v>
      </c>
      <c r="B6" s="72" t="s">
        <v>83</v>
      </c>
      <c r="C6" s="73" t="n">
        <v>8700</v>
      </c>
      <c r="D6" s="72" t="s">
        <v>158</v>
      </c>
      <c r="E6" s="72" t="s">
        <v>133</v>
      </c>
      <c r="F6" s="72"/>
    </row>
    <row r="7" customFormat="false" ht="19.5" hidden="false" customHeight="true" outlineLevel="0" collapsed="false">
      <c r="A7" s="74" t="s">
        <v>228</v>
      </c>
      <c r="B7" s="74"/>
      <c r="C7" s="75" t="n">
        <f aca="false">SUM(C5:C6)</f>
        <v>8820</v>
      </c>
      <c r="D7" s="76"/>
      <c r="E7" s="76"/>
      <c r="F7" s="76"/>
    </row>
    <row r="9" customFormat="false" ht="24" hidden="false" customHeight="true" outlineLevel="0" collapsed="false">
      <c r="A9" s="69" t="s">
        <v>229</v>
      </c>
      <c r="B9" s="69"/>
      <c r="C9" s="69"/>
      <c r="D9" s="69"/>
      <c r="E9" s="69"/>
      <c r="F9" s="69"/>
    </row>
    <row r="10" customFormat="false" ht="18" hidden="false" customHeight="true" outlineLevel="0" collapsed="false">
      <c r="A10" s="77" t="s">
        <v>230</v>
      </c>
      <c r="B10" s="77" t="s">
        <v>84</v>
      </c>
      <c r="C10" s="78" t="n">
        <v>142.84</v>
      </c>
      <c r="D10" s="77" t="s">
        <v>126</v>
      </c>
      <c r="E10" s="77" t="s">
        <v>133</v>
      </c>
      <c r="F10" s="77"/>
    </row>
    <row r="11" customFormat="false" ht="19.5" hidden="false" customHeight="true" outlineLevel="0" collapsed="false">
      <c r="A11" s="74" t="s">
        <v>231</v>
      </c>
      <c r="B11" s="74"/>
      <c r="C11" s="75" t="n">
        <f aca="false">SUM(C10)</f>
        <v>142.84</v>
      </c>
      <c r="D11" s="76"/>
      <c r="E11" s="76"/>
      <c r="F11" s="76"/>
    </row>
    <row r="13" customFormat="false" ht="24" hidden="false" customHeight="true" outlineLevel="0" collapsed="false">
      <c r="A13" s="69" t="s">
        <v>232</v>
      </c>
      <c r="B13" s="69"/>
      <c r="C13" s="69"/>
      <c r="D13" s="69"/>
      <c r="E13" s="69"/>
      <c r="F13" s="69"/>
    </row>
    <row r="14" customFormat="false" ht="18" hidden="false" customHeight="true" outlineLevel="0" collapsed="false">
      <c r="A14" s="70" t="s">
        <v>233</v>
      </c>
      <c r="B14" s="70" t="s">
        <v>84</v>
      </c>
      <c r="C14" s="71" t="n">
        <v>177</v>
      </c>
      <c r="D14" s="70" t="s">
        <v>137</v>
      </c>
      <c r="E14" s="70" t="s">
        <v>127</v>
      </c>
      <c r="F14" s="70"/>
    </row>
    <row r="15" customFormat="false" ht="18" hidden="false" customHeight="true" outlineLevel="0" collapsed="false">
      <c r="A15" s="70" t="s">
        <v>234</v>
      </c>
      <c r="B15" s="70" t="s">
        <v>235</v>
      </c>
      <c r="C15" s="71" t="n">
        <v>22</v>
      </c>
      <c r="D15" s="70" t="s">
        <v>126</v>
      </c>
      <c r="E15" s="70" t="s">
        <v>127</v>
      </c>
      <c r="F15" s="70"/>
    </row>
    <row r="16" customFormat="false" ht="19.5" hidden="false" customHeight="true" outlineLevel="0" collapsed="false">
      <c r="A16" s="74" t="s">
        <v>236</v>
      </c>
      <c r="B16" s="74"/>
      <c r="C16" s="75" t="n">
        <f aca="false">SUM(C14:C15)</f>
        <v>199</v>
      </c>
      <c r="D16" s="76"/>
      <c r="E16" s="76"/>
      <c r="F16" s="76"/>
    </row>
    <row r="18" customFormat="false" ht="24" hidden="false" customHeight="true" outlineLevel="0" collapsed="false">
      <c r="A18" s="69" t="s">
        <v>237</v>
      </c>
      <c r="B18" s="69"/>
      <c r="C18" s="69"/>
      <c r="D18" s="69"/>
      <c r="E18" s="69"/>
      <c r="F18" s="69"/>
    </row>
    <row r="19" customFormat="false" ht="18" hidden="false" customHeight="true" outlineLevel="0" collapsed="false">
      <c r="A19" s="70" t="s">
        <v>238</v>
      </c>
      <c r="B19" s="70" t="s">
        <v>84</v>
      </c>
      <c r="C19" s="71" t="n">
        <v>310</v>
      </c>
      <c r="D19" s="70" t="s">
        <v>137</v>
      </c>
      <c r="E19" s="70" t="s">
        <v>127</v>
      </c>
      <c r="F19" s="70"/>
    </row>
    <row r="20" customFormat="false" ht="18" hidden="false" customHeight="true" outlineLevel="0" collapsed="false">
      <c r="A20" s="70" t="s">
        <v>239</v>
      </c>
      <c r="B20" s="70" t="s">
        <v>84</v>
      </c>
      <c r="C20" s="71" t="n">
        <v>177</v>
      </c>
      <c r="D20" s="70" t="s">
        <v>137</v>
      </c>
      <c r="E20" s="70" t="s">
        <v>127</v>
      </c>
      <c r="F20" s="70"/>
    </row>
    <row r="21" customFormat="false" ht="19.5" hidden="false" customHeight="true" outlineLevel="0" collapsed="false">
      <c r="A21" s="74" t="s">
        <v>240</v>
      </c>
      <c r="B21" s="74"/>
      <c r="C21" s="75" t="n">
        <f aca="false">SUM(C19:C20)</f>
        <v>487</v>
      </c>
      <c r="D21" s="76"/>
      <c r="E21" s="76"/>
      <c r="F21" s="76"/>
    </row>
  </sheetData>
  <mergeCells count="10">
    <mergeCell ref="A1:T1"/>
    <mergeCell ref="A2:T2"/>
    <mergeCell ref="A4:F4"/>
    <mergeCell ref="A7:B7"/>
    <mergeCell ref="A9:F9"/>
    <mergeCell ref="A11:B11"/>
    <mergeCell ref="A13:F13"/>
    <mergeCell ref="A16:B16"/>
    <mergeCell ref="A18:F18"/>
    <mergeCell ref="A21:B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22"/>
    <col collapsed="false" customWidth="true" hidden="false" outlineLevel="0" max="8" min="3" style="1" width="14"/>
    <col collapsed="false" customWidth="true" hidden="false" outlineLevel="0" max="9" min="9" style="1" width="12"/>
    <col collapsed="false" customWidth="true" hidden="false" outlineLevel="0" max="10" min="10" style="1" width="22"/>
  </cols>
  <sheetData>
    <row r="1" customFormat="false" ht="27.75" hidden="false" customHeight="true" outlineLevel="0" collapsed="false">
      <c r="A1" s="2" t="s">
        <v>241</v>
      </c>
      <c r="B1" s="2"/>
      <c r="C1" s="2"/>
      <c r="D1" s="2"/>
      <c r="E1" s="2"/>
      <c r="F1" s="2"/>
      <c r="G1" s="2"/>
      <c r="H1" s="2"/>
      <c r="I1" s="2"/>
      <c r="J1" s="2"/>
    </row>
    <row r="2" customFormat="false" ht="27.75" hidden="false" customHeight="true" outlineLevel="0" collapsed="false">
      <c r="A2" s="56" t="s">
        <v>242</v>
      </c>
      <c r="B2" s="56"/>
      <c r="C2" s="56"/>
      <c r="D2" s="56"/>
      <c r="E2" s="56"/>
      <c r="F2" s="56"/>
      <c r="G2" s="56"/>
      <c r="H2" s="56"/>
      <c r="I2" s="56"/>
      <c r="J2" s="56"/>
    </row>
    <row r="3" customFormat="false" ht="9.75" hidden="false" customHeight="true" outlineLevel="0" collapsed="false"/>
    <row r="4" customFormat="false" ht="27.75" hidden="false" customHeight="true" outlineLevel="0" collapsed="false">
      <c r="A4" s="17" t="s">
        <v>109</v>
      </c>
      <c r="B4" s="17" t="s">
        <v>110</v>
      </c>
      <c r="C4" s="79" t="s">
        <v>243</v>
      </c>
      <c r="D4" s="79"/>
      <c r="E4" s="79" t="s">
        <v>244</v>
      </c>
      <c r="F4" s="79"/>
      <c r="G4" s="79" t="s">
        <v>245</v>
      </c>
      <c r="H4" s="79"/>
      <c r="I4" s="17" t="s">
        <v>246</v>
      </c>
      <c r="J4" s="17" t="s">
        <v>121</v>
      </c>
    </row>
    <row r="5" customFormat="false" ht="21.75" hidden="false" customHeight="true" outlineLevel="0" collapsed="false">
      <c r="C5" s="80" t="s">
        <v>247</v>
      </c>
      <c r="D5" s="81" t="s">
        <v>248</v>
      </c>
      <c r="E5" s="80" t="s">
        <v>247</v>
      </c>
      <c r="F5" s="81" t="s">
        <v>248</v>
      </c>
      <c r="G5" s="80" t="s">
        <v>247</v>
      </c>
      <c r="H5" s="81" t="s">
        <v>248</v>
      </c>
      <c r="I5" s="76"/>
      <c r="J5" s="17"/>
    </row>
    <row r="6" customFormat="false" ht="18" hidden="false" customHeight="true" outlineLevel="0" collapsed="false">
      <c r="A6" s="77" t="s">
        <v>123</v>
      </c>
      <c r="B6" s="77" t="s">
        <v>82</v>
      </c>
      <c r="C6" s="82" t="n">
        <v>120</v>
      </c>
      <c r="D6" s="35"/>
      <c r="E6" s="82" t="n">
        <v>120</v>
      </c>
      <c r="F6" s="35"/>
      <c r="G6" s="82" t="n">
        <v>120</v>
      </c>
      <c r="H6" s="35"/>
      <c r="I6" s="77" t="s">
        <v>124</v>
      </c>
      <c r="J6" s="77"/>
    </row>
    <row r="7" customFormat="false" ht="18" hidden="false" customHeight="true" outlineLevel="0" collapsed="false">
      <c r="A7" s="83" t="s">
        <v>157</v>
      </c>
      <c r="B7" s="83" t="s">
        <v>83</v>
      </c>
      <c r="C7" s="84" t="n">
        <v>8700</v>
      </c>
      <c r="D7" s="35"/>
      <c r="E7" s="84" t="n">
        <v>8700</v>
      </c>
      <c r="F7" s="35"/>
      <c r="G7" s="84" t="n">
        <v>8700</v>
      </c>
      <c r="H7" s="35"/>
      <c r="I7" s="83" t="s">
        <v>124</v>
      </c>
      <c r="J7" s="83"/>
    </row>
    <row r="8" customFormat="false" ht="18" hidden="false" customHeight="true" outlineLevel="0" collapsed="false">
      <c r="A8" s="77" t="s">
        <v>138</v>
      </c>
      <c r="B8" s="77" t="s">
        <v>84</v>
      </c>
      <c r="C8" s="82" t="n">
        <v>142.84</v>
      </c>
      <c r="D8" s="35"/>
      <c r="E8" s="82" t="n">
        <v>142.84</v>
      </c>
      <c r="F8" s="35"/>
      <c r="G8" s="82" t="n">
        <v>142.84</v>
      </c>
      <c r="H8" s="35"/>
      <c r="I8" s="77" t="s">
        <v>124</v>
      </c>
      <c r="J8" s="77"/>
    </row>
    <row r="9" customFormat="false" ht="18" hidden="false" customHeight="true" outlineLevel="0" collapsed="false">
      <c r="A9" s="83" t="s">
        <v>135</v>
      </c>
      <c r="B9" s="83" t="s">
        <v>84</v>
      </c>
      <c r="C9" s="84" t="n">
        <v>177</v>
      </c>
      <c r="D9" s="35"/>
      <c r="E9" s="84" t="n">
        <v>177</v>
      </c>
      <c r="F9" s="35"/>
      <c r="G9" s="84" t="n">
        <v>177</v>
      </c>
      <c r="H9" s="35"/>
      <c r="I9" s="83" t="s">
        <v>124</v>
      </c>
      <c r="J9" s="83"/>
    </row>
    <row r="10" customFormat="false" ht="18" hidden="false" customHeight="true" outlineLevel="0" collapsed="false">
      <c r="A10" s="77" t="s">
        <v>149</v>
      </c>
      <c r="B10" s="77" t="s">
        <v>235</v>
      </c>
      <c r="C10" s="82" t="n">
        <v>22</v>
      </c>
      <c r="D10" s="35"/>
      <c r="E10" s="82" t="n">
        <v>22</v>
      </c>
      <c r="F10" s="35"/>
      <c r="G10" s="82" t="n">
        <v>22</v>
      </c>
      <c r="H10" s="35"/>
      <c r="I10" s="77" t="s">
        <v>124</v>
      </c>
      <c r="J10" s="77"/>
    </row>
    <row r="11" customFormat="false" ht="18" hidden="false" customHeight="true" outlineLevel="0" collapsed="false">
      <c r="A11" s="83" t="s">
        <v>171</v>
      </c>
      <c r="B11" s="83" t="s">
        <v>84</v>
      </c>
      <c r="C11" s="84" t="n">
        <v>310</v>
      </c>
      <c r="D11" s="35"/>
      <c r="E11" s="84" t="n">
        <v>310</v>
      </c>
      <c r="F11" s="35"/>
      <c r="G11" s="84" t="n">
        <v>310</v>
      </c>
      <c r="H11" s="35"/>
      <c r="I11" s="83" t="s">
        <v>124</v>
      </c>
      <c r="J11" s="83"/>
    </row>
    <row r="12" customFormat="false" ht="18" hidden="false" customHeight="true" outlineLevel="0" collapsed="false">
      <c r="A12" s="77" t="s">
        <v>135</v>
      </c>
      <c r="B12" s="77" t="s">
        <v>84</v>
      </c>
      <c r="C12" s="82" t="n">
        <v>177</v>
      </c>
      <c r="D12" s="35"/>
      <c r="E12" s="82" t="n">
        <v>177</v>
      </c>
      <c r="F12" s="35"/>
      <c r="G12" s="82" t="n">
        <v>177</v>
      </c>
      <c r="H12" s="35"/>
      <c r="I12" s="77" t="s">
        <v>124</v>
      </c>
      <c r="J12" s="77"/>
    </row>
    <row r="14" customFormat="false" ht="24" hidden="false" customHeight="true" outlineLevel="0" collapsed="false">
      <c r="A14" s="46" t="s">
        <v>249</v>
      </c>
      <c r="B14" s="46"/>
      <c r="C14" s="47" t="n">
        <f aca="false">SUMIF(C6:C12,"&gt;0")</f>
        <v>9648.84</v>
      </c>
      <c r="D14" s="47" t="n">
        <f aca="false">SUMIF(D6:D12,"&gt;0")</f>
        <v>0</v>
      </c>
      <c r="E14" s="47" t="n">
        <f aca="false">SUMIF(E6:E12,"&gt;0")</f>
        <v>9648.84</v>
      </c>
      <c r="F14" s="47" t="n">
        <f aca="false">SUMIF(F6:F12,"&gt;0")</f>
        <v>0</v>
      </c>
      <c r="G14" s="47" t="n">
        <f aca="false">SUMIF(G6:G12,"&gt;0")</f>
        <v>9648.84</v>
      </c>
      <c r="H14" s="47" t="n">
        <f aca="false">SUMIF(H6:H12,"&gt;0")</f>
        <v>0</v>
      </c>
      <c r="I14" s="48"/>
      <c r="J14" s="48"/>
    </row>
  </sheetData>
  <mergeCells count="7">
    <mergeCell ref="A1:J1"/>
    <mergeCell ref="A2:J2"/>
    <mergeCell ref="C4:D4"/>
    <mergeCell ref="E4:F4"/>
    <mergeCell ref="G4:H4"/>
    <mergeCell ref="J4:J5"/>
    <mergeCell ref="A14:B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5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8"/>
    <col collapsed="false" customWidth="true" hidden="false" outlineLevel="0" max="2" min="2" style="1" width="16"/>
    <col collapsed="false" customWidth="true" hidden="false" outlineLevel="0" max="3" min="3" style="1" width="30"/>
    <col collapsed="false" customWidth="true" hidden="false" outlineLevel="0" max="4" min="4" style="1" width="50"/>
    <col collapsed="false" customWidth="true" hidden="false" outlineLevel="0" max="6" min="5" style="1" width="5"/>
  </cols>
  <sheetData>
    <row r="1" customFormat="false" ht="27.75" hidden="false" customHeight="true" outlineLevel="0" collapsed="false">
      <c r="A1" s="2" t="s">
        <v>250</v>
      </c>
      <c r="B1" s="2"/>
      <c r="C1" s="2"/>
      <c r="D1" s="2"/>
      <c r="E1" s="2"/>
      <c r="F1" s="2"/>
      <c r="G1" s="2"/>
      <c r="H1" s="2"/>
    </row>
    <row r="2" customFormat="false" ht="27.75" hidden="false" customHeight="true" outlineLevel="0" collapsed="false">
      <c r="A2" s="56" t="s">
        <v>251</v>
      </c>
      <c r="B2" s="56"/>
      <c r="C2" s="56"/>
      <c r="D2" s="56"/>
      <c r="E2" s="56"/>
      <c r="F2" s="56"/>
      <c r="G2" s="56"/>
      <c r="H2" s="56"/>
    </row>
    <row r="4" customFormat="false" ht="24" hidden="false" customHeight="true" outlineLevel="0" collapsed="false">
      <c r="A4" s="85" t="s">
        <v>252</v>
      </c>
      <c r="B4" s="85"/>
      <c r="C4" s="85"/>
      <c r="D4" s="85"/>
      <c r="E4" s="85"/>
      <c r="F4" s="85"/>
    </row>
    <row r="5" customFormat="false" ht="30" hidden="false" customHeight="true" outlineLevel="0" collapsed="false">
      <c r="A5" s="24" t="s">
        <v>253</v>
      </c>
      <c r="B5" s="24" t="s">
        <v>38</v>
      </c>
      <c r="C5" s="24" t="s">
        <v>254</v>
      </c>
      <c r="D5" s="24" t="s">
        <v>40</v>
      </c>
      <c r="E5" s="24"/>
      <c r="F5" s="24"/>
    </row>
    <row r="6" customFormat="false" ht="18" hidden="false" customHeight="true" outlineLevel="0" collapsed="false">
      <c r="A6" s="86" t="s">
        <v>255</v>
      </c>
      <c r="B6" s="83" t="s">
        <v>256</v>
      </c>
      <c r="C6" s="83" t="s">
        <v>257</v>
      </c>
      <c r="D6" s="83" t="s">
        <v>258</v>
      </c>
      <c r="E6" s="83"/>
      <c r="F6" s="83"/>
    </row>
    <row r="7" customFormat="false" ht="18" hidden="false" customHeight="true" outlineLevel="0" collapsed="false">
      <c r="A7" s="87" t="s">
        <v>259</v>
      </c>
      <c r="B7" s="88" t="s">
        <v>256</v>
      </c>
      <c r="C7" s="88" t="s">
        <v>260</v>
      </c>
      <c r="D7" s="88" t="s">
        <v>261</v>
      </c>
      <c r="E7" s="88"/>
      <c r="F7" s="88"/>
    </row>
    <row r="8" customFormat="false" ht="18" hidden="false" customHeight="true" outlineLevel="0" collapsed="false">
      <c r="A8" s="86" t="s">
        <v>41</v>
      </c>
      <c r="B8" s="83" t="s">
        <v>262</v>
      </c>
      <c r="C8" s="83" t="s">
        <v>263</v>
      </c>
      <c r="D8" s="83" t="s">
        <v>264</v>
      </c>
      <c r="E8" s="83"/>
      <c r="F8" s="83"/>
    </row>
    <row r="9" customFormat="false" ht="18" hidden="false" customHeight="true" outlineLevel="0" collapsed="false">
      <c r="A9" s="87" t="s">
        <v>45</v>
      </c>
      <c r="B9" s="88" t="s">
        <v>262</v>
      </c>
      <c r="C9" s="88" t="s">
        <v>263</v>
      </c>
      <c r="D9" s="88" t="s">
        <v>265</v>
      </c>
      <c r="E9" s="88"/>
      <c r="F9" s="88"/>
    </row>
    <row r="10" customFormat="false" ht="18" hidden="false" customHeight="true" outlineLevel="0" collapsed="false">
      <c r="A10" s="86" t="s">
        <v>47</v>
      </c>
      <c r="B10" s="83" t="s">
        <v>262</v>
      </c>
      <c r="C10" s="83" t="s">
        <v>266</v>
      </c>
      <c r="D10" s="83"/>
      <c r="E10" s="83"/>
      <c r="F10" s="83"/>
    </row>
    <row r="11" customFormat="false" ht="18" hidden="false" customHeight="true" outlineLevel="0" collapsed="false">
      <c r="A11" s="87" t="s">
        <v>267</v>
      </c>
      <c r="B11" s="88" t="s">
        <v>262</v>
      </c>
      <c r="C11" s="88" t="s">
        <v>263</v>
      </c>
      <c r="D11" s="88" t="s">
        <v>268</v>
      </c>
      <c r="E11" s="88"/>
      <c r="F11" s="88"/>
    </row>
    <row r="12" customFormat="false" ht="18" hidden="false" customHeight="true" outlineLevel="0" collapsed="false">
      <c r="A12" s="86" t="s">
        <v>50</v>
      </c>
      <c r="B12" s="83" t="s">
        <v>269</v>
      </c>
      <c r="C12" s="83" t="s">
        <v>263</v>
      </c>
      <c r="D12" s="83" t="s">
        <v>270</v>
      </c>
      <c r="E12" s="83"/>
      <c r="F12" s="83"/>
    </row>
    <row r="13" customFormat="false" ht="18" hidden="false" customHeight="true" outlineLevel="0" collapsed="false">
      <c r="A13" s="87" t="s">
        <v>53</v>
      </c>
      <c r="B13" s="88" t="s">
        <v>269</v>
      </c>
      <c r="C13" s="88" t="s">
        <v>266</v>
      </c>
      <c r="D13" s="88" t="s">
        <v>271</v>
      </c>
      <c r="E13" s="88"/>
      <c r="F13" s="88"/>
    </row>
    <row r="14" customFormat="false" ht="18" hidden="false" customHeight="true" outlineLevel="0" collapsed="false">
      <c r="A14" s="86" t="s">
        <v>61</v>
      </c>
      <c r="B14" s="83" t="s">
        <v>262</v>
      </c>
      <c r="C14" s="83" t="s">
        <v>263</v>
      </c>
      <c r="D14" s="83" t="s">
        <v>272</v>
      </c>
      <c r="E14" s="83"/>
      <c r="F14" s="83"/>
    </row>
    <row r="15" customFormat="false" ht="18" hidden="false" customHeight="true" outlineLevel="0" collapsed="false">
      <c r="A15" s="87" t="s">
        <v>63</v>
      </c>
      <c r="B15" s="88" t="s">
        <v>273</v>
      </c>
      <c r="C15" s="88" t="s">
        <v>266</v>
      </c>
      <c r="D15" s="88" t="s">
        <v>274</v>
      </c>
      <c r="E15" s="88"/>
      <c r="F15" s="88"/>
    </row>
    <row r="16" customFormat="false" ht="18" hidden="false" customHeight="true" outlineLevel="0" collapsed="false">
      <c r="A16" s="86" t="s">
        <v>66</v>
      </c>
      <c r="B16" s="83" t="s">
        <v>273</v>
      </c>
      <c r="C16" s="83" t="s">
        <v>266</v>
      </c>
      <c r="D16" s="83" t="s">
        <v>275</v>
      </c>
      <c r="E16" s="83"/>
      <c r="F16" s="83"/>
    </row>
    <row r="17" customFormat="false" ht="18" hidden="false" customHeight="true" outlineLevel="0" collapsed="false">
      <c r="A17" s="87" t="s">
        <v>68</v>
      </c>
      <c r="B17" s="88" t="s">
        <v>262</v>
      </c>
      <c r="C17" s="88" t="s">
        <v>266</v>
      </c>
      <c r="D17" s="88" t="s">
        <v>276</v>
      </c>
      <c r="E17" s="88"/>
      <c r="F17" s="88"/>
    </row>
    <row r="18" customFormat="false" ht="18" hidden="false" customHeight="true" outlineLevel="0" collapsed="false">
      <c r="A18" s="86" t="s">
        <v>70</v>
      </c>
      <c r="B18" s="83" t="s">
        <v>277</v>
      </c>
      <c r="C18" s="83" t="s">
        <v>278</v>
      </c>
      <c r="D18" s="83" t="s">
        <v>279</v>
      </c>
      <c r="E18" s="83"/>
      <c r="F18" s="83"/>
    </row>
    <row r="19" customFormat="false" ht="18" hidden="false" customHeight="true" outlineLevel="0" collapsed="false">
      <c r="A19" s="87" t="s">
        <v>73</v>
      </c>
      <c r="B19" s="88" t="s">
        <v>262</v>
      </c>
      <c r="C19" s="88" t="s">
        <v>280</v>
      </c>
      <c r="D19" s="88" t="s">
        <v>281</v>
      </c>
      <c r="E19" s="88"/>
      <c r="F19" s="88"/>
    </row>
    <row r="20" customFormat="false" ht="18" hidden="false" customHeight="true" outlineLevel="0" collapsed="false">
      <c r="A20" s="86" t="s">
        <v>75</v>
      </c>
      <c r="B20" s="83" t="s">
        <v>269</v>
      </c>
      <c r="C20" s="83" t="s">
        <v>282</v>
      </c>
      <c r="D20" s="83" t="s">
        <v>283</v>
      </c>
      <c r="E20" s="83"/>
      <c r="F20" s="83"/>
    </row>
    <row r="21" customFormat="false" ht="18" hidden="false" customHeight="true" outlineLevel="0" collapsed="false">
      <c r="A21" s="87" t="s">
        <v>77</v>
      </c>
      <c r="B21" s="88" t="s">
        <v>262</v>
      </c>
      <c r="C21" s="88" t="s">
        <v>266</v>
      </c>
      <c r="D21" s="88" t="s">
        <v>284</v>
      </c>
      <c r="E21" s="88"/>
      <c r="F21" s="88"/>
    </row>
    <row r="22" customFormat="false" ht="18" hidden="false" customHeight="true" outlineLevel="0" collapsed="false">
      <c r="A22" s="86" t="s">
        <v>285</v>
      </c>
      <c r="B22" s="83" t="s">
        <v>262</v>
      </c>
      <c r="C22" s="83" t="s">
        <v>266</v>
      </c>
      <c r="D22" s="83" t="s">
        <v>286</v>
      </c>
      <c r="E22" s="83"/>
      <c r="F22" s="83"/>
    </row>
    <row r="23" customFormat="false" ht="18" hidden="false" customHeight="true" outlineLevel="0" collapsed="false">
      <c r="A23" s="87" t="s">
        <v>287</v>
      </c>
      <c r="B23" s="88" t="s">
        <v>288</v>
      </c>
      <c r="C23" s="88" t="s">
        <v>266</v>
      </c>
      <c r="D23" s="88" t="s">
        <v>289</v>
      </c>
      <c r="E23" s="88"/>
      <c r="F23" s="88"/>
    </row>
    <row r="24" customFormat="false" ht="18" hidden="false" customHeight="true" outlineLevel="0" collapsed="false">
      <c r="A24" s="86" t="s">
        <v>290</v>
      </c>
      <c r="B24" s="83" t="s">
        <v>288</v>
      </c>
      <c r="C24" s="83" t="s">
        <v>291</v>
      </c>
      <c r="D24" s="83"/>
      <c r="E24" s="83"/>
      <c r="F24" s="83"/>
    </row>
    <row r="25" customFormat="false" ht="18" hidden="false" customHeight="true" outlineLevel="0" collapsed="false">
      <c r="A25" s="87" t="s">
        <v>292</v>
      </c>
      <c r="B25" s="88" t="s">
        <v>288</v>
      </c>
      <c r="C25" s="88" t="s">
        <v>291</v>
      </c>
      <c r="D25" s="88"/>
      <c r="E25" s="88"/>
      <c r="F25" s="88"/>
    </row>
    <row r="27" customFormat="false" ht="24" hidden="false" customHeight="true" outlineLevel="0" collapsed="false">
      <c r="A27" s="85" t="s">
        <v>293</v>
      </c>
      <c r="B27" s="85"/>
      <c r="C27" s="85"/>
      <c r="D27" s="85"/>
      <c r="E27" s="85"/>
      <c r="F27" s="85"/>
    </row>
    <row r="28" customFormat="false" ht="30" hidden="false" customHeight="true" outlineLevel="0" collapsed="false">
      <c r="A28" s="24" t="s">
        <v>253</v>
      </c>
      <c r="B28" s="24" t="s">
        <v>38</v>
      </c>
      <c r="C28" s="24" t="s">
        <v>254</v>
      </c>
      <c r="D28" s="24" t="s">
        <v>40</v>
      </c>
      <c r="E28" s="24"/>
      <c r="F28" s="24"/>
    </row>
    <row r="29" customFormat="false" ht="18" hidden="false" customHeight="true" outlineLevel="0" collapsed="false">
      <c r="A29" s="86" t="s">
        <v>255</v>
      </c>
      <c r="B29" s="83" t="s">
        <v>256</v>
      </c>
      <c r="C29" s="83" t="s">
        <v>257</v>
      </c>
      <c r="D29" s="83"/>
      <c r="E29" s="83"/>
      <c r="F29" s="83"/>
    </row>
    <row r="30" customFormat="false" ht="18" hidden="false" customHeight="true" outlineLevel="0" collapsed="false">
      <c r="A30" s="87" t="s">
        <v>294</v>
      </c>
      <c r="B30" s="88" t="s">
        <v>256</v>
      </c>
      <c r="C30" s="88" t="s">
        <v>295</v>
      </c>
      <c r="D30" s="88" t="s">
        <v>296</v>
      </c>
      <c r="E30" s="88"/>
      <c r="F30" s="88"/>
    </row>
    <row r="31" customFormat="false" ht="18" hidden="false" customHeight="true" outlineLevel="0" collapsed="false">
      <c r="A31" s="86" t="s">
        <v>297</v>
      </c>
      <c r="B31" s="83" t="s">
        <v>262</v>
      </c>
      <c r="C31" s="83" t="s">
        <v>263</v>
      </c>
      <c r="D31" s="83"/>
      <c r="E31" s="83"/>
      <c r="F31" s="83"/>
    </row>
    <row r="32" customFormat="false" ht="18" hidden="false" customHeight="true" outlineLevel="0" collapsed="false">
      <c r="A32" s="87" t="s">
        <v>298</v>
      </c>
      <c r="B32" s="88" t="s">
        <v>262</v>
      </c>
      <c r="C32" s="88" t="s">
        <v>299</v>
      </c>
      <c r="D32" s="88"/>
      <c r="E32" s="88"/>
      <c r="F32" s="88"/>
    </row>
    <row r="33" customFormat="false" ht="18" hidden="false" customHeight="true" outlineLevel="0" collapsed="false">
      <c r="A33" s="86" t="s">
        <v>300</v>
      </c>
      <c r="B33" s="83" t="s">
        <v>262</v>
      </c>
      <c r="C33" s="83" t="s">
        <v>263</v>
      </c>
      <c r="D33" s="83" t="s">
        <v>301</v>
      </c>
      <c r="E33" s="83"/>
      <c r="F33" s="83"/>
    </row>
    <row r="34" customFormat="false" ht="18" hidden="false" customHeight="true" outlineLevel="0" collapsed="false">
      <c r="A34" s="87" t="s">
        <v>302</v>
      </c>
      <c r="B34" s="88" t="s">
        <v>277</v>
      </c>
      <c r="C34" s="88" t="s">
        <v>278</v>
      </c>
      <c r="D34" s="88"/>
      <c r="E34" s="88"/>
      <c r="F34" s="88"/>
    </row>
    <row r="35" customFormat="false" ht="18" hidden="false" customHeight="true" outlineLevel="0" collapsed="false">
      <c r="A35" s="86" t="s">
        <v>290</v>
      </c>
      <c r="B35" s="83" t="s">
        <v>288</v>
      </c>
      <c r="C35" s="83" t="s">
        <v>291</v>
      </c>
      <c r="D35" s="83"/>
      <c r="E35" s="83"/>
      <c r="F35" s="83"/>
    </row>
    <row r="37" customFormat="false" ht="24" hidden="false" customHeight="true" outlineLevel="0" collapsed="false">
      <c r="A37" s="85" t="s">
        <v>303</v>
      </c>
      <c r="B37" s="85"/>
      <c r="C37" s="85"/>
      <c r="D37" s="85"/>
      <c r="E37" s="85"/>
      <c r="F37" s="85"/>
    </row>
    <row r="38" customFormat="false" ht="30" hidden="false" customHeight="true" outlineLevel="0" collapsed="false">
      <c r="A38" s="24" t="s">
        <v>253</v>
      </c>
      <c r="B38" s="24" t="s">
        <v>38</v>
      </c>
      <c r="C38" s="24" t="s">
        <v>254</v>
      </c>
      <c r="D38" s="24" t="s">
        <v>40</v>
      </c>
      <c r="E38" s="24"/>
      <c r="F38" s="24"/>
    </row>
    <row r="39" customFormat="false" ht="18" hidden="false" customHeight="true" outlineLevel="0" collapsed="false">
      <c r="A39" s="86" t="s">
        <v>255</v>
      </c>
      <c r="B39" s="83" t="s">
        <v>256</v>
      </c>
      <c r="C39" s="83" t="s">
        <v>257</v>
      </c>
      <c r="D39" s="83"/>
      <c r="E39" s="83"/>
      <c r="F39" s="83"/>
    </row>
    <row r="40" customFormat="false" ht="18" hidden="false" customHeight="true" outlineLevel="0" collapsed="false">
      <c r="A40" s="87" t="s">
        <v>259</v>
      </c>
      <c r="B40" s="88" t="s">
        <v>256</v>
      </c>
      <c r="C40" s="88" t="s">
        <v>260</v>
      </c>
      <c r="D40" s="88"/>
      <c r="E40" s="88"/>
      <c r="F40" s="88"/>
    </row>
    <row r="41" customFormat="false" ht="18" hidden="false" customHeight="true" outlineLevel="0" collapsed="false">
      <c r="A41" s="86" t="s">
        <v>304</v>
      </c>
      <c r="B41" s="83" t="s">
        <v>256</v>
      </c>
      <c r="C41" s="83" t="s">
        <v>305</v>
      </c>
      <c r="D41" s="83"/>
      <c r="E41" s="83"/>
      <c r="F41" s="83"/>
    </row>
    <row r="42" customFormat="false" ht="18" hidden="false" customHeight="true" outlineLevel="0" collapsed="false">
      <c r="A42" s="87" t="s">
        <v>306</v>
      </c>
      <c r="B42" s="88" t="s">
        <v>262</v>
      </c>
      <c r="C42" s="88" t="s">
        <v>263</v>
      </c>
      <c r="D42" s="88" t="s">
        <v>307</v>
      </c>
      <c r="E42" s="88"/>
      <c r="F42" s="88"/>
    </row>
    <row r="43" customFormat="false" ht="18" hidden="false" customHeight="true" outlineLevel="0" collapsed="false">
      <c r="A43" s="86" t="s">
        <v>308</v>
      </c>
      <c r="B43" s="83" t="s">
        <v>262</v>
      </c>
      <c r="C43" s="83" t="s">
        <v>263</v>
      </c>
      <c r="D43" s="83" t="s">
        <v>309</v>
      </c>
      <c r="E43" s="83"/>
      <c r="F43" s="83"/>
    </row>
    <row r="44" customFormat="false" ht="18" hidden="false" customHeight="true" outlineLevel="0" collapsed="false">
      <c r="A44" s="87" t="s">
        <v>310</v>
      </c>
      <c r="B44" s="88" t="s">
        <v>277</v>
      </c>
      <c r="C44" s="88" t="s">
        <v>278</v>
      </c>
      <c r="D44" s="88"/>
      <c r="E44" s="88"/>
      <c r="F44" s="88"/>
    </row>
    <row r="45" customFormat="false" ht="18" hidden="false" customHeight="true" outlineLevel="0" collapsed="false">
      <c r="A45" s="86" t="s">
        <v>311</v>
      </c>
      <c r="B45" s="83" t="s">
        <v>288</v>
      </c>
      <c r="C45" s="83" t="s">
        <v>266</v>
      </c>
      <c r="D45" s="83"/>
      <c r="E45" s="83"/>
      <c r="F45" s="83"/>
    </row>
    <row r="46" customFormat="false" ht="18" hidden="false" customHeight="true" outlineLevel="0" collapsed="false">
      <c r="A46" s="87" t="s">
        <v>290</v>
      </c>
      <c r="B46" s="88" t="s">
        <v>288</v>
      </c>
      <c r="C46" s="88" t="s">
        <v>291</v>
      </c>
      <c r="D46" s="88"/>
      <c r="E46" s="88"/>
      <c r="F46" s="88"/>
    </row>
    <row r="48" customFormat="false" ht="24" hidden="false" customHeight="true" outlineLevel="0" collapsed="false">
      <c r="A48" s="85" t="s">
        <v>312</v>
      </c>
      <c r="B48" s="85"/>
      <c r="C48" s="85"/>
      <c r="D48" s="85"/>
      <c r="E48" s="85"/>
      <c r="F48" s="85"/>
    </row>
    <row r="49" customFormat="false" ht="30" hidden="false" customHeight="true" outlineLevel="0" collapsed="false">
      <c r="A49" s="24" t="s">
        <v>253</v>
      </c>
      <c r="B49" s="24" t="s">
        <v>38</v>
      </c>
      <c r="C49" s="24" t="s">
        <v>254</v>
      </c>
      <c r="D49" s="24" t="s">
        <v>40</v>
      </c>
      <c r="E49" s="24"/>
      <c r="F49" s="24"/>
    </row>
    <row r="50" customFormat="false" ht="18" hidden="false" customHeight="true" outlineLevel="0" collapsed="false">
      <c r="A50" s="86" t="s">
        <v>255</v>
      </c>
      <c r="B50" s="83" t="s">
        <v>256</v>
      </c>
      <c r="C50" s="83" t="s">
        <v>257</v>
      </c>
      <c r="D50" s="83"/>
      <c r="E50" s="83"/>
      <c r="F50" s="83"/>
    </row>
    <row r="51" customFormat="false" ht="18" hidden="false" customHeight="true" outlineLevel="0" collapsed="false">
      <c r="A51" s="87" t="s">
        <v>259</v>
      </c>
      <c r="B51" s="88" t="s">
        <v>256</v>
      </c>
      <c r="C51" s="88" t="s">
        <v>260</v>
      </c>
      <c r="D51" s="88"/>
      <c r="E51" s="88"/>
      <c r="F51" s="88"/>
    </row>
    <row r="52" customFormat="false" ht="18" hidden="false" customHeight="true" outlineLevel="0" collapsed="false">
      <c r="A52" s="86" t="s">
        <v>304</v>
      </c>
      <c r="B52" s="83" t="s">
        <v>256</v>
      </c>
      <c r="C52" s="83" t="s">
        <v>305</v>
      </c>
      <c r="D52" s="83"/>
      <c r="E52" s="83"/>
      <c r="F52" s="83"/>
    </row>
    <row r="53" customFormat="false" ht="18" hidden="false" customHeight="true" outlineLevel="0" collapsed="false">
      <c r="A53" s="87" t="s">
        <v>313</v>
      </c>
      <c r="B53" s="88" t="s">
        <v>314</v>
      </c>
      <c r="C53" s="88" t="s">
        <v>263</v>
      </c>
      <c r="D53" s="88"/>
      <c r="E53" s="88"/>
      <c r="F53" s="88"/>
    </row>
    <row r="54" customFormat="false" ht="18" hidden="false" customHeight="true" outlineLevel="0" collapsed="false">
      <c r="A54" s="86" t="s">
        <v>315</v>
      </c>
      <c r="B54" s="83" t="s">
        <v>269</v>
      </c>
      <c r="C54" s="83" t="s">
        <v>263</v>
      </c>
      <c r="D54" s="83"/>
      <c r="E54" s="83"/>
      <c r="F54" s="83"/>
    </row>
    <row r="55" customFormat="false" ht="18" hidden="false" customHeight="true" outlineLevel="0" collapsed="false">
      <c r="A55" s="87" t="s">
        <v>73</v>
      </c>
      <c r="B55" s="88" t="s">
        <v>262</v>
      </c>
      <c r="C55" s="88" t="s">
        <v>316</v>
      </c>
      <c r="D55" s="88" t="s">
        <v>317</v>
      </c>
      <c r="E55" s="88"/>
      <c r="F55" s="88"/>
    </row>
    <row r="56" customFormat="false" ht="18" hidden="false" customHeight="true" outlineLevel="0" collapsed="false">
      <c r="A56" s="86" t="s">
        <v>318</v>
      </c>
      <c r="B56" s="83" t="s">
        <v>256</v>
      </c>
      <c r="C56" s="83" t="s">
        <v>295</v>
      </c>
      <c r="D56" s="83" t="s">
        <v>319</v>
      </c>
      <c r="E56" s="83"/>
      <c r="F56" s="83"/>
    </row>
    <row r="57" customFormat="false" ht="18" hidden="false" customHeight="true" outlineLevel="0" collapsed="false">
      <c r="A57" s="87" t="s">
        <v>290</v>
      </c>
      <c r="B57" s="88" t="s">
        <v>288</v>
      </c>
      <c r="C57" s="88" t="s">
        <v>291</v>
      </c>
      <c r="D57" s="88"/>
      <c r="E57" s="88"/>
      <c r="F57" s="88"/>
    </row>
  </sheetData>
  <mergeCells count="53">
    <mergeCell ref="A1:H1"/>
    <mergeCell ref="A2:H2"/>
    <mergeCell ref="A4:F4"/>
    <mergeCell ref="D5:F5"/>
    <mergeCell ref="D6:F6"/>
    <mergeCell ref="D7:F7"/>
    <mergeCell ref="D8:F8"/>
    <mergeCell ref="D9:F9"/>
    <mergeCell ref="D10:F10"/>
    <mergeCell ref="D11:F11"/>
    <mergeCell ref="D12:F12"/>
    <mergeCell ref="D13:F13"/>
    <mergeCell ref="D14:F14"/>
    <mergeCell ref="D15:F15"/>
    <mergeCell ref="D16:F16"/>
    <mergeCell ref="D17:F17"/>
    <mergeCell ref="D18:F18"/>
    <mergeCell ref="D19:F19"/>
    <mergeCell ref="D20:F20"/>
    <mergeCell ref="D21:F21"/>
    <mergeCell ref="D22:F22"/>
    <mergeCell ref="D23:F23"/>
    <mergeCell ref="D24:F24"/>
    <mergeCell ref="D25:F25"/>
    <mergeCell ref="A27:F27"/>
    <mergeCell ref="D28:F28"/>
    <mergeCell ref="D29:F29"/>
    <mergeCell ref="D30:F30"/>
    <mergeCell ref="D31:F31"/>
    <mergeCell ref="D32:F32"/>
    <mergeCell ref="D33:F33"/>
    <mergeCell ref="D34:F34"/>
    <mergeCell ref="D35:F35"/>
    <mergeCell ref="A37:F37"/>
    <mergeCell ref="D38:F38"/>
    <mergeCell ref="D39:F39"/>
    <mergeCell ref="D40:F40"/>
    <mergeCell ref="D41:F41"/>
    <mergeCell ref="D42:F42"/>
    <mergeCell ref="D43:F43"/>
    <mergeCell ref="D44:F44"/>
    <mergeCell ref="D45:F45"/>
    <mergeCell ref="D46:F46"/>
    <mergeCell ref="A48:F48"/>
    <mergeCell ref="D49:F49"/>
    <mergeCell ref="D50:F50"/>
    <mergeCell ref="D51:F51"/>
    <mergeCell ref="D52:F52"/>
    <mergeCell ref="D53:F53"/>
    <mergeCell ref="D54:F54"/>
    <mergeCell ref="D55:F55"/>
    <mergeCell ref="D56:F56"/>
    <mergeCell ref="D57:F5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2026-05-28T00:51:23Z</dcterms:created>
  <dc:creator>openpyxl</dc:creator>
  <dc:description/>
  <dc:language>en-US</dc:language>
  <cp:lastModifiedBy/>
  <dcterms:modified xsi:type="dcterms:W3CDTF">2026-05-28T00:51:42Z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