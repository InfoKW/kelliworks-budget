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IZ Budget" sheetId="2" state="visible" r:id="rId4"/>
    <sheet name="PERSONAL Budget" sheetId="3" state="visible" r:id="rId5"/>
    <sheet name="Dashboard" sheetId="4" state="visible" r:id="rId6"/>
    <sheet name="Payment Calendar" sheetId="5" state="visible" r:id="rId7"/>
    <sheet name="Forecast" sheetId="6" state="visible" r:id="rId8"/>
    <sheet name="DB Schem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<sst xmlns="http://schemas.openxmlformats.org/spreadsheetml/2006/main" count="1387" uniqueCount="435">
  <si>
    <t xml:space="preserve">KelliWorks Budget Framework — Developer Reference Guide</t>
  </si>
  <si>
    <t xml:space="preserve">CONFIDENTIAL  |  kelli@kelliworks.com  |  v1.0</t>
  </si>
  <si>
    <t xml:space="preserve">COLOR CODING LEGEND</t>
  </si>
  <si>
    <t xml:space="preserve">Blue text</t>
  </si>
  <si>
    <t xml:space="preserve">Hardcoded inputs — cells users / Kelli will manually edit</t>
  </si>
  <si>
    <t xml:space="preserve">Black text</t>
  </si>
  <si>
    <t xml:space="preserve">Calculated formulas — DO NOT hardcode these</t>
  </si>
  <si>
    <t xml:space="preserve">Green text</t>
  </si>
  <si>
    <t xml:space="preserve">Cross-sheet links pulling from another tab in this workbook</t>
  </si>
  <si>
    <t xml:space="preserve">Navy header</t>
  </si>
  <si>
    <t xml:space="preserve">Section / column headers</t>
  </si>
  <si>
    <t xml:space="preserve">Gold header</t>
  </si>
  <si>
    <t xml:space="preserve">Sub-section accent headers</t>
  </si>
  <si>
    <t xml:space="preserve">Light blue row</t>
  </si>
  <si>
    <t xml:space="preserve">Business budget section rows</t>
  </si>
  <si>
    <t xml:space="preserve">Light gold row</t>
  </si>
  <si>
    <t xml:space="preserve">Personal budget section rows</t>
  </si>
  <si>
    <t xml:space="preserve">Green cell bg</t>
  </si>
  <si>
    <t xml:space="preserve">On-track / cleared payment</t>
  </si>
  <si>
    <t xml:space="preserve">Red cell bg</t>
  </si>
  <si>
    <t xml:space="preserve">Overdue / flagged item</t>
  </si>
  <si>
    <t xml:space="preserve">Yellow cell</t>
  </si>
  <si>
    <t xml:space="preserve">Needs attention / placeholder to update</t>
  </si>
  <si>
    <t xml:space="preserve">WORKBOOK TAB GUIDE</t>
  </si>
  <si>
    <t xml:space="preserve">BIZ Budget</t>
  </si>
  <si>
    <t xml:space="preserve">All recurring business expenses and subscriptions. One row per vendor. Includes category, amount, due date, payment account, auto-pay flag.</t>
  </si>
  <si>
    <t xml:space="preserve">PERSONAL Budget</t>
  </si>
  <si>
    <t xml:space="preserve">All recurring personal expenses. Same structure as BIZ Budget. Categories overlap intentionally for cross-comparison in Dashboard.</t>
  </si>
  <si>
    <t xml:space="preserve">Dashboard</t>
  </si>
  <si>
    <t xml:space="preserve">Combined summary view. Auto-calculates totals from BIZ and PERSONAL tabs. Entrepreneur sees full picture here.</t>
  </si>
  <si>
    <t xml:space="preserve">Payment Calendar</t>
  </si>
  <si>
    <t xml:space="preserve">Monthly grid showing every bill's due date by week. Color-coded by account. Payment forecast for cash-flow planning.</t>
  </si>
  <si>
    <t xml:space="preserve">Forecast</t>
  </si>
  <si>
    <t xml:space="preserve">Rolling 3-month forward view. Shows cumulative cash outflows by week. Helps client anticipate cash needs.</t>
  </si>
  <si>
    <t xml:space="preserve">DB Schema</t>
  </si>
  <si>
    <t xml:space="preserve">Database field definitions for backend developer. Column names, data types, constraints, and notes for Supabase table design.</t>
  </si>
  <si>
    <t xml:space="preserve">FIELD DEFINITIONS (applies to BIZ Budget and PERSONAL Budget tabs)</t>
  </si>
  <si>
    <t xml:space="preserve">Field Name (DB Column)</t>
  </si>
  <si>
    <t xml:space="preserve">Data Type</t>
  </si>
  <si>
    <t xml:space="preserve">Required?</t>
  </si>
  <si>
    <t xml:space="preserve">Description</t>
  </si>
  <si>
    <t xml:space="preserve">vendor_name</t>
  </si>
  <si>
    <t xml:space="preserve">Text</t>
  </si>
  <si>
    <t xml:space="preserve">Required</t>
  </si>
  <si>
    <t xml:space="preserve">The biller/vendor name. Client-editable.</t>
  </si>
  <si>
    <t xml:space="preserve">category</t>
  </si>
  <si>
    <t xml:space="preserve">Expense category (see Category List below). Enables cross-tab comparison.</t>
  </si>
  <si>
    <t xml:space="preserve">subcategory</t>
  </si>
  <si>
    <t xml:space="preserve">Optional</t>
  </si>
  <si>
    <t xml:space="preserve">More specific grouping within a category.</t>
  </si>
  <si>
    <t xml:space="preserve">budget_amount</t>
  </si>
  <si>
    <t xml:space="preserve">Currency</t>
  </si>
  <si>
    <t xml:space="preserve">Expected monthly cost. Blue input field.</t>
  </si>
  <si>
    <t xml:space="preserve">actual_amount</t>
  </si>
  <si>
    <t xml:space="preserve">Formula</t>
  </si>
  <si>
    <t xml:space="preserve">Pulled from Plaid transaction match. Auto-updates.</t>
  </si>
  <si>
    <t xml:space="preserve">variance_amt</t>
  </si>
  <si>
    <t xml:space="preserve"> =actual - budget. negative = over budget.</t>
  </si>
  <si>
    <t xml:space="preserve">variance_pct</t>
  </si>
  <si>
    <t xml:space="preserve">Percent</t>
  </si>
  <si>
    <t xml:space="preserve"> =variance / budget. color-coded threshold &gt;15%.</t>
  </si>
  <si>
    <t xml:space="preserve">frequency</t>
  </si>
  <si>
    <t xml:space="preserve">Monthly / Quarterly / Annual / One-Time / Weekly</t>
  </si>
  <si>
    <t xml:space="preserve">due_day</t>
  </si>
  <si>
    <t xml:space="preserve">Integer</t>
  </si>
  <si>
    <t xml:space="preserve">Day of month payment is due (1–31). Drives Payment Calendar.</t>
  </si>
  <si>
    <t xml:space="preserve">due_week</t>
  </si>
  <si>
    <t xml:space="preserve">Week of month (1–4). Used for weekly-pay items.</t>
  </si>
  <si>
    <t xml:space="preserve">payment_account</t>
  </si>
  <si>
    <t xml:space="preserve">Account the payment draws from (e.g., DISCOVER, OZK, Chase).</t>
  </si>
  <si>
    <t xml:space="preserve">auto_pay</t>
  </si>
  <si>
    <t xml:space="preserve">Boolean</t>
  </si>
  <si>
    <t xml:space="preserve">Yes = ACH / auto-charge. No = manual payment required.</t>
  </si>
  <si>
    <t xml:space="preserve">status</t>
  </si>
  <si>
    <t xml:space="preserve">Active / Cancel / Pending / Seasonal</t>
  </si>
  <si>
    <t xml:space="preserve">alert_threshold</t>
  </si>
  <si>
    <t xml:space="preserve">Override default 15% fluctuation alert. Leave blank = use default.</t>
  </si>
  <si>
    <t xml:space="preserve">notes</t>
  </si>
  <si>
    <t xml:space="preserve">Free-form notes (e.g., 'PIF annually', 'Cancel by Sept 18').</t>
  </si>
  <si>
    <t xml:space="preserve">STANDARD CATEGORY LIST  (same names used in both BIZ and PERSONAL tabs for Dashboard comparison)</t>
  </si>
  <si>
    <t xml:space="preserve">BUSINESS CATEGORIES</t>
  </si>
  <si>
    <t xml:space="preserve">PERSONAL CATEGORIES</t>
  </si>
  <si>
    <t xml:space="preserve">Software &amp; Subscriptions</t>
  </si>
  <si>
    <t xml:space="preserve">Housing</t>
  </si>
  <si>
    <t xml:space="preserve">Insurance</t>
  </si>
  <si>
    <t xml:space="preserve">Utilities &amp; Internet</t>
  </si>
  <si>
    <t xml:space="preserve">Staffing &amp; Contractors</t>
  </si>
  <si>
    <t xml:space="preserve">Food &amp; Groceries</t>
  </si>
  <si>
    <t xml:space="preserve">Rent &amp; Facilities</t>
  </si>
  <si>
    <t xml:space="preserve">Health &amp; Fitness</t>
  </si>
  <si>
    <t xml:space="preserve">Marketing &amp; Advertising</t>
  </si>
  <si>
    <t xml:space="preserve">Accounting &amp; Finance</t>
  </si>
  <si>
    <t xml:space="preserve">Children</t>
  </si>
  <si>
    <t xml:space="preserve">Communications</t>
  </si>
  <si>
    <t xml:space="preserve">Entertainment</t>
  </si>
  <si>
    <t xml:space="preserve">Banking &amp; Payments</t>
  </si>
  <si>
    <t xml:space="preserve">Transportation</t>
  </si>
  <si>
    <t xml:space="preserve">Professional Development</t>
  </si>
  <si>
    <t xml:space="preserve">Savings &amp; Investments</t>
  </si>
  <si>
    <t xml:space="preserve">Health &amp; Wellness</t>
  </si>
  <si>
    <t xml:space="preserve">Personal Care</t>
  </si>
  <si>
    <t xml:space="preserve">Storage</t>
  </si>
  <si>
    <t xml:space="preserve">Charity</t>
  </si>
  <si>
    <t xml:space="preserve">Miscellaneous (Biz)</t>
  </si>
  <si>
    <t xml:space="preserve">Miscellaneous (Personal)</t>
  </si>
  <si>
    <t xml:space="preserve">KelliWorks — KelliWorks — Kelli Lewis Business Budget  |  2025–2026</t>
  </si>
  <si>
    <t xml:space="preserve">Blue = editable input  |  Black = formula  |  Green = cross-sheet link  |  Status: Active / Cancel / Pending / Seasonal</t>
  </si>
  <si>
    <t xml:space="preserve">MONTHLY TOTAL →</t>
  </si>
  <si>
    <t xml:space="preserve">#</t>
  </si>
  <si>
    <t xml:space="preserve">Vendor / Description</t>
  </si>
  <si>
    <t xml:space="preserve">Category</t>
  </si>
  <si>
    <t xml:space="preserve">Budget Amount ($)</t>
  </si>
  <si>
    <t xml:space="preserve">Actual Amount ($)</t>
  </si>
  <si>
    <t xml:space="preserve">Variance ($)</t>
  </si>
  <si>
    <t xml:space="preserve">Variance (%)</t>
  </si>
  <si>
    <t xml:space="preserve">Frequency</t>
  </si>
  <si>
    <t xml:space="preserve">Due Day</t>
  </si>
  <si>
    <t xml:space="preserve">Due Week</t>
  </si>
  <si>
    <t xml:space="preserve">Payment Account</t>
  </si>
  <si>
    <t xml:space="preserve">Auto Pay</t>
  </si>
  <si>
    <t xml:space="preserve">Status</t>
  </si>
  <si>
    <t xml:space="preserve">Notes</t>
  </si>
  <si>
    <t xml:space="preserve">  Software &amp; Subscriptions</t>
  </si>
  <si>
    <t xml:space="preserve">QuickBooks Online (QBO)</t>
  </si>
  <si>
    <t xml:space="preserve">Monthly</t>
  </si>
  <si>
    <t xml:space="preserve">1</t>
  </si>
  <si>
    <t xml:space="preserve">Chase OZK Checking</t>
  </si>
  <si>
    <t xml:space="preserve">No</t>
  </si>
  <si>
    <t xml:space="preserve">Active</t>
  </si>
  <si>
    <t xml:space="preserve">QuickBooks Subscription</t>
  </si>
  <si>
    <t xml:space="preserve">DISCOVER</t>
  </si>
  <si>
    <t xml:space="preserve">Yes</t>
  </si>
  <si>
    <t xml:space="preserve">Google Workspace</t>
  </si>
  <si>
    <t xml:space="preserve">Asana</t>
  </si>
  <si>
    <t xml:space="preserve">5</t>
  </si>
  <si>
    <t xml:space="preserve">Jace AI</t>
  </si>
  <si>
    <t xml:space="preserve">4</t>
  </si>
  <si>
    <t xml:space="preserve">Microsoft 365</t>
  </si>
  <si>
    <t xml:space="preserve">7</t>
  </si>
  <si>
    <t xml:space="preserve">IPFS (Cyber Insurance)</t>
  </si>
  <si>
    <t xml:space="preserve">11</t>
  </si>
  <si>
    <t xml:space="preserve">Slack</t>
  </si>
  <si>
    <t xml:space="preserve">15</t>
  </si>
  <si>
    <t xml:space="preserve">Delete JT workspace</t>
  </si>
  <si>
    <t xml:space="preserve">Innovative Way</t>
  </si>
  <si>
    <t xml:space="preserve">KlipFolio</t>
  </si>
  <si>
    <t xml:space="preserve">19</t>
  </si>
  <si>
    <t xml:space="preserve">Adobe</t>
  </si>
  <si>
    <t xml:space="preserve">20</t>
  </si>
  <si>
    <t xml:space="preserve">OpenAI ChatGPT</t>
  </si>
  <si>
    <t xml:space="preserve">22</t>
  </si>
  <si>
    <t xml:space="preserve">GHL LeadConnector</t>
  </si>
  <si>
    <t xml:space="preserve">Keap CRM</t>
  </si>
  <si>
    <t xml:space="preserve">Canva</t>
  </si>
  <si>
    <t xml:space="preserve">21</t>
  </si>
  <si>
    <t xml:space="preserve">PIF annually 12/5 — $120</t>
  </si>
  <si>
    <t xml:space="preserve">Bill.com</t>
  </si>
  <si>
    <t xml:space="preserve">Fathom</t>
  </si>
  <si>
    <t xml:space="preserve">EverHour</t>
  </si>
  <si>
    <t xml:space="preserve">Zoom</t>
  </si>
  <si>
    <t xml:space="preserve">Dropbox (Business)</t>
  </si>
  <si>
    <t xml:space="preserve">Verify due date</t>
  </si>
  <si>
    <t xml:space="preserve">Dropbox (Personal)</t>
  </si>
  <si>
    <t xml:space="preserve">1Password</t>
  </si>
  <si>
    <t xml:space="preserve">Voice Inplu</t>
  </si>
  <si>
    <t xml:space="preserve">Gamma</t>
  </si>
  <si>
    <t xml:space="preserve">Cancel</t>
  </si>
  <si>
    <t xml:space="preserve">Cancel ASAP</t>
  </si>
  <si>
    <t xml:space="preserve">Greenlight</t>
  </si>
  <si>
    <t xml:space="preserve">Motion</t>
  </si>
  <si>
    <t xml:space="preserve">Cancel by Sept 18, 2025</t>
  </si>
  <si>
    <t xml:space="preserve">Loom</t>
  </si>
  <si>
    <t xml:space="preserve">Wells Fargo Business</t>
  </si>
  <si>
    <t xml:space="preserve">Link Tree</t>
  </si>
  <si>
    <t xml:space="preserve">Jace AI (confirm)</t>
  </si>
  <si>
    <t xml:space="preserve">  Insurance</t>
  </si>
  <si>
    <t xml:space="preserve">HISCOX Liability Policy</t>
  </si>
  <si>
    <t xml:space="preserve">30</t>
  </si>
  <si>
    <t xml:space="preserve">BIZ OZK Checking</t>
  </si>
  <si>
    <t xml:space="preserve">Also listed under Software</t>
  </si>
  <si>
    <t xml:space="preserve">  Staffing &amp; Contractors</t>
  </si>
  <si>
    <t xml:space="preserve">Bookkeeper</t>
  </si>
  <si>
    <t xml:space="preserve">Kearns / Heartland debt</t>
  </si>
  <si>
    <t xml:space="preserve">EA — Tim</t>
  </si>
  <si>
    <t xml:space="preserve">Intern</t>
  </si>
  <si>
    <t xml:space="preserve">Will / Precise</t>
  </si>
  <si>
    <t xml:space="preserve">$50,000 outstanding balance</t>
  </si>
  <si>
    <t xml:space="preserve">  Rent &amp; Facilities</t>
  </si>
  <si>
    <t xml:space="preserve">Office Rent (New)</t>
  </si>
  <si>
    <t xml:space="preserve">$2,300 possible alt amount</t>
  </si>
  <si>
    <t xml:space="preserve">Back Rent</t>
  </si>
  <si>
    <t xml:space="preserve">One-Time</t>
  </si>
  <si>
    <t xml:space="preserve">Pending</t>
  </si>
  <si>
    <t xml:space="preserve">$9,000 owed — resolve ASAP</t>
  </si>
  <si>
    <t xml:space="preserve">  Marketing &amp; Advertising</t>
  </si>
  <si>
    <t xml:space="preserve">Yelp Subscription</t>
  </si>
  <si>
    <t xml:space="preserve">Wix (Site 1)</t>
  </si>
  <si>
    <t xml:space="preserve">Wix (Site 2)</t>
  </si>
  <si>
    <t xml:space="preserve">Miami Made</t>
  </si>
  <si>
    <t xml:space="preserve">  Banking &amp; Payments</t>
  </si>
  <si>
    <t xml:space="preserve">Capital One</t>
  </si>
  <si>
    <t xml:space="preserve">Min payment $25; full balance $150</t>
  </si>
  <si>
    <t xml:space="preserve">Heartland</t>
  </si>
  <si>
    <t xml:space="preserve">  Memberships &amp; Professional Development</t>
  </si>
  <si>
    <t xml:space="preserve">SoHo House Membership</t>
  </si>
  <si>
    <t xml:space="preserve">Memberships &amp; Professional Development</t>
  </si>
  <si>
    <t xml:space="preserve">Quarterly</t>
  </si>
  <si>
    <t xml:space="preserve">Every 3 months — next Sept 20</t>
  </si>
  <si>
    <t xml:space="preserve">Big Money Speaker</t>
  </si>
  <si>
    <t xml:space="preserve">$1,397 outstanding</t>
  </si>
  <si>
    <t xml:space="preserve">Keeper Security</t>
  </si>
  <si>
    <t xml:space="preserve">  Communications</t>
  </si>
  <si>
    <t xml:space="preserve">AT&amp;T Mobile</t>
  </si>
  <si>
    <t xml:space="preserve">New Tech Data (IT Support)</t>
  </si>
  <si>
    <t xml:space="preserve">Virtual Receptionist</t>
  </si>
  <si>
    <t xml:space="preserve">  Other Quarterly Expenses</t>
  </si>
  <si>
    <t xml:space="preserve">GPD</t>
  </si>
  <si>
    <t xml:space="preserve">Other Quarterly Expenses</t>
  </si>
  <si>
    <t xml:space="preserve">Every 3 months</t>
  </si>
  <si>
    <t xml:space="preserve">GRAND TOTAL</t>
  </si>
  <si>
    <t xml:space="preserve">KelliWorks — KelliWorks — Kelli Lewis Personal Budget  |  2025–2026</t>
  </si>
  <si>
    <t xml:space="preserve">  Housing</t>
  </si>
  <si>
    <t xml:space="preserve">Lantower Riverslanding (Rent)</t>
  </si>
  <si>
    <t xml:space="preserve">Week 1 due</t>
  </si>
  <si>
    <t xml:space="preserve">FPL (Electric)</t>
  </si>
  <si>
    <t xml:space="preserve">Home Internet (AT&amp;T)</t>
  </si>
  <si>
    <t xml:space="preserve">10</t>
  </si>
  <si>
    <t xml:space="preserve">FIRST DIGITAL</t>
  </si>
  <si>
    <t xml:space="preserve">  Food &amp; Groceries</t>
  </si>
  <si>
    <t xml:space="preserve">Publix / Amazon (Groceries)</t>
  </si>
  <si>
    <t xml:space="preserve">Weekly</t>
  </si>
  <si>
    <t xml:space="preserve">~$200/week × 4</t>
  </si>
  <si>
    <t xml:space="preserve">Dining Out / Eating Out</t>
  </si>
  <si>
    <t xml:space="preserve">~$125/week × 4</t>
  </si>
  <si>
    <t xml:space="preserve">  Health &amp; Fitness</t>
  </si>
  <si>
    <t xml:space="preserve">Equinox</t>
  </si>
  <si>
    <t xml:space="preserve">3</t>
  </si>
  <si>
    <t xml:space="preserve">CHASE DEBIT</t>
  </si>
  <si>
    <t xml:space="preserve">Week 3 — $365 alt amount seen</t>
  </si>
  <si>
    <t xml:space="preserve">Peloton</t>
  </si>
  <si>
    <t xml:space="preserve">Week 1 — $50 alt amount seen</t>
  </si>
  <si>
    <t xml:space="preserve">Aspen Dental</t>
  </si>
  <si>
    <t xml:space="preserve">Chase Checking</t>
  </si>
  <si>
    <t xml:space="preserve">HFD Dental Finance $150/wk3</t>
  </si>
  <si>
    <t xml:space="preserve">Life Insurance Policy</t>
  </si>
  <si>
    <t xml:space="preserve">27</t>
  </si>
  <si>
    <t xml:space="preserve">Disability Insurance</t>
  </si>
  <si>
    <t xml:space="preserve">Identity IQ</t>
  </si>
  <si>
    <t xml:space="preserve">  Children</t>
  </si>
  <si>
    <t xml:space="preserve">Children Expenses (Misc)</t>
  </si>
  <si>
    <t xml:space="preserve">~$235/week</t>
  </si>
  <si>
    <t xml:space="preserve">Pediatric Dentist — Prince (Braces)</t>
  </si>
  <si>
    <t xml:space="preserve">Week 4</t>
  </si>
  <si>
    <t xml:space="preserve">  Savings &amp; Investments</t>
  </si>
  <si>
    <t xml:space="preserve">NorthWestern Investment</t>
  </si>
  <si>
    <t xml:space="preserve">NWM Savings</t>
  </si>
  <si>
    <t xml:space="preserve">$375/week — $1,500/mo total</t>
  </si>
  <si>
    <t xml:space="preserve">Savings Transfer</t>
  </si>
  <si>
    <t xml:space="preserve">AMEX / Savings</t>
  </si>
  <si>
    <t xml:space="preserve">$375/week target</t>
  </si>
  <si>
    <t xml:space="preserve">Acorn Investing</t>
  </si>
  <si>
    <t xml:space="preserve">  Transportation</t>
  </si>
  <si>
    <t xml:space="preserve">Jorge (Driver)</t>
  </si>
  <si>
    <t xml:space="preserve">$500/week × 4 = $2,000/mo</t>
  </si>
  <si>
    <t xml:space="preserve">  Personal Care</t>
  </si>
  <si>
    <t xml:space="preserve">Personal Care (Misc)</t>
  </si>
  <si>
    <t xml:space="preserve">~$185/week</t>
  </si>
  <si>
    <t xml:space="preserve">Amela G (Cleaning)</t>
  </si>
  <si>
    <t xml:space="preserve">$500/week — confirm frequency</t>
  </si>
  <si>
    <t xml:space="preserve">  Entertainment &amp; Memberships</t>
  </si>
  <si>
    <t xml:space="preserve">Netflix</t>
  </si>
  <si>
    <t xml:space="preserve">Amazon Prime</t>
  </si>
  <si>
    <t xml:space="preserve">Ancestry</t>
  </si>
  <si>
    <t xml:space="preserve">  Charity</t>
  </si>
  <si>
    <t xml:space="preserve">Charity (Misc)</t>
  </si>
  <si>
    <t xml:space="preserve">KelliWorks — Financial Dashboard  |  Business + Personal Combined View</t>
  </si>
  <si>
    <t xml:space="preserve">Auto-calculated from BIZ Budget and PERSONAL Budget tabs</t>
  </si>
  <si>
    <t xml:space="preserve">BIZ Monthly Budget</t>
  </si>
  <si>
    <t xml:space="preserve">BIZ Actual (MTD)</t>
  </si>
  <si>
    <t xml:space="preserve">PERSONAL Monthly Budget</t>
  </si>
  <si>
    <t xml:space="preserve">PERSONAL Actual (MTD)</t>
  </si>
  <si>
    <t xml:space="preserve">COMBINED Budget</t>
  </si>
  <si>
    <t xml:space="preserve">COMBINED Actual (MTD)</t>
  </si>
  <si>
    <t xml:space="preserve">SPENDING BY CATEGORY — Business vs. Personal</t>
  </si>
  <si>
    <t xml:space="preserve">BIZ Budget ($)</t>
  </si>
  <si>
    <t xml:space="preserve">BIZ Actual ($)</t>
  </si>
  <si>
    <t xml:space="preserve">BIZ Variance</t>
  </si>
  <si>
    <t xml:space="preserve">PERSONAL Budget ($)</t>
  </si>
  <si>
    <t xml:space="preserve">PERSONAL Actual ($)</t>
  </si>
  <si>
    <t xml:space="preserve">PERSONAL Variance</t>
  </si>
  <si>
    <t xml:space="preserve">COMBINED Total</t>
  </si>
  <si>
    <t xml:space="preserve">—</t>
  </si>
  <si>
    <t xml:space="preserve">Miscellaneous</t>
  </si>
  <si>
    <t xml:space="preserve">  ℹ  Category totals will auto-populate when SUMIF formulas are linked to BIZ Budget and PERSONAL Budget tabs by the developer.</t>
  </si>
  <si>
    <t xml:space="preserve">PAYMENTS BY ACCOUNT — Monthly Summary</t>
  </si>
  <si>
    <t xml:space="preserve"># of Bills</t>
  </si>
  <si>
    <t xml:space="preserve">Total Budget ($)</t>
  </si>
  <si>
    <t xml:space="preserve">Auto-Pay Bills</t>
  </si>
  <si>
    <t xml:space="preserve">OZK Business</t>
  </si>
  <si>
    <t xml:space="preserve">Chase Debit</t>
  </si>
  <si>
    <t xml:space="preserve">First Digital</t>
  </si>
  <si>
    <t xml:space="preserve">Other</t>
  </si>
  <si>
    <t xml:space="preserve">KelliWorks — Monthly Payment Calendar</t>
  </si>
  <si>
    <t xml:space="preserve">Bills organized by due date  |  Blue = manual payment required  |  Green = Auto Pay  |  Orange = Quarterly</t>
  </si>
  <si>
    <t xml:space="preserve">Budget Amount</t>
  </si>
  <si>
    <t xml:space="preserve">Account</t>
  </si>
  <si>
    <t xml:space="preserve">  📅 WEEK 1  (Days 1–7)</t>
  </si>
  <si>
    <t xml:space="preserve">  QuickBooks Online (QBO)  [Day 1]</t>
  </si>
  <si>
    <t xml:space="preserve">Software</t>
  </si>
  <si>
    <t xml:space="preserve">OZK Checking</t>
  </si>
  <si>
    <t xml:space="preserve">  QuickBooks Subscription  [Day 1]</t>
  </si>
  <si>
    <t xml:space="preserve">  Google Workspace  [Day 1]</t>
  </si>
  <si>
    <t xml:space="preserve">  Yelp Subscription  [Day 1]</t>
  </si>
  <si>
    <t xml:space="preserve">Marketing</t>
  </si>
  <si>
    <t xml:space="preserve">Wells Fargo Biz</t>
  </si>
  <si>
    <t xml:space="preserve">  Lantower Riverslanding (Rent)  [Day 1]</t>
  </si>
  <si>
    <t xml:space="preserve">Week 1</t>
  </si>
  <si>
    <t xml:space="preserve">  Identity IQ  [Day 1]</t>
  </si>
  <si>
    <t xml:space="preserve">  Jace AI  [Day 4]</t>
  </si>
  <si>
    <t xml:space="preserve">  Asana  [Day 5]</t>
  </si>
  <si>
    <t xml:space="preserve">  Microsoft 365  [Day 7]</t>
  </si>
  <si>
    <t xml:space="preserve">  Miami Made  [Day 7]</t>
  </si>
  <si>
    <t xml:space="preserve">  Jorge (Driver)  []</t>
  </si>
  <si>
    <t xml:space="preserve">Weekly ~$500</t>
  </si>
  <si>
    <t xml:space="preserve">  NorthWestern Investment  []</t>
  </si>
  <si>
    <t xml:space="preserve">Savings</t>
  </si>
  <si>
    <t xml:space="preserve">NWM</t>
  </si>
  <si>
    <t xml:space="preserve">Weekly ~$375</t>
  </si>
  <si>
    <t xml:space="preserve">  WEEK 1  (Days 1–7) SUBTOTAL</t>
  </si>
  <si>
    <t xml:space="preserve">  📅 WEEK 2  (Days 8–14)</t>
  </si>
  <si>
    <t xml:space="preserve">  Home Internet (AT&amp;T)  [Day 10]</t>
  </si>
  <si>
    <t xml:space="preserve">Utilities</t>
  </si>
  <si>
    <t xml:space="preserve">  IPFS (Cyber Insurance)  [Day 11]</t>
  </si>
  <si>
    <t xml:space="preserve">  WEEK 2  (Days 8–14) SUBTOTAL</t>
  </si>
  <si>
    <t xml:space="preserve">  📅 WEEK 3  (Days 15–21)</t>
  </si>
  <si>
    <t xml:space="preserve">  Slack  [Day 15]</t>
  </si>
  <si>
    <t xml:space="preserve">  Innovative Way  [Day 15]</t>
  </si>
  <si>
    <t xml:space="preserve">  Keeper Security  [Day 15]</t>
  </si>
  <si>
    <t xml:space="preserve">Professional</t>
  </si>
  <si>
    <t xml:space="preserve">  Loom  [Day 15]</t>
  </si>
  <si>
    <t xml:space="preserve">  Link Tree  [Day 15]</t>
  </si>
  <si>
    <t xml:space="preserve">  KlipFolio  [Day 19]</t>
  </si>
  <si>
    <t xml:space="preserve">  Wix (Site 1)  [Day 19]</t>
  </si>
  <si>
    <t xml:space="preserve">  Adobe  [Day 20]</t>
  </si>
  <si>
    <t xml:space="preserve">  Wix (Site 2)  [Day 20]</t>
  </si>
  <si>
    <t xml:space="preserve">  SoHo House (Quarterly)  [Day 20]</t>
  </si>
  <si>
    <t xml:space="preserve">Memberships</t>
  </si>
  <si>
    <t xml:space="preserve">Quarterly — Sept/Dec/Mar/Jun</t>
  </si>
  <si>
    <t xml:space="preserve">  Canva  [Day 21]</t>
  </si>
  <si>
    <t xml:space="preserve">  WEEK 3  (Days 15–21) SUBTOTAL</t>
  </si>
  <si>
    <t xml:space="preserve">  📅 WEEK 4  (Days 22–31)</t>
  </si>
  <si>
    <t xml:space="preserve">  OpenAI ChatGPT  [Day 22]</t>
  </si>
  <si>
    <t xml:space="preserve">  Life Insurance Policy  [Day 27]</t>
  </si>
  <si>
    <t xml:space="preserve">  HISCOX Liability Policy  [Day 30]</t>
  </si>
  <si>
    <t xml:space="preserve">BIZ OZK</t>
  </si>
  <si>
    <t xml:space="preserve">  WEEK 4  (Days 22–31) SUBTOTAL</t>
  </si>
  <si>
    <t xml:space="preserve">KelliWorks — 3-Month Rolling Payment Forecast</t>
  </si>
  <si>
    <t xml:space="preserve">Forward-looking cash outflow projection  |  Blue = editable  |  Quarterly bills spread across applicable months</t>
  </si>
  <si>
    <t xml:space="preserve">Month 1 (Current)</t>
  </si>
  <si>
    <t xml:space="preserve">Month 2</t>
  </si>
  <si>
    <t xml:space="preserve">Month 3</t>
  </si>
  <si>
    <t xml:space="preserve">Freq.</t>
  </si>
  <si>
    <t xml:space="preserve">Budget ($)</t>
  </si>
  <si>
    <t xml:space="preserve">Projected ($)</t>
  </si>
  <si>
    <t xml:space="preserve">MONTHLY TOTAL</t>
  </si>
  <si>
    <t xml:space="preserve">KelliWorks — Supabase Database Schema Reference</t>
  </si>
  <si>
    <t xml:space="preserve">For developer use only — maps Excel fields to PostgreSQL table columns</t>
  </si>
  <si>
    <t xml:space="preserve">TABLE: bills (recurring_bills)</t>
  </si>
  <si>
    <t xml:space="preserve">Column Name</t>
  </si>
  <si>
    <t xml:space="preserve">Constraints</t>
  </si>
  <si>
    <t xml:space="preserve">id</t>
  </si>
  <si>
    <t xml:space="preserve">uuid</t>
  </si>
  <si>
    <t xml:space="preserve">PRIMARY KEY</t>
  </si>
  <si>
    <t xml:space="preserve">Auto-generated. DEFAULT gen_random_uuid()</t>
  </si>
  <si>
    <t xml:space="preserve">client_id</t>
  </si>
  <si>
    <t xml:space="preserve">FK → clients</t>
  </si>
  <si>
    <t xml:space="preserve">References clients.id. Row-level security enforces isolation.</t>
  </si>
  <si>
    <t xml:space="preserve">text</t>
  </si>
  <si>
    <t xml:space="preserve">NOT NULL</t>
  </si>
  <si>
    <t xml:space="preserve">Biller name. Client-editable.</t>
  </si>
  <si>
    <t xml:space="preserve">Enum: see category list in Instructions tab.</t>
  </si>
  <si>
    <t xml:space="preserve">NULLABLE</t>
  </si>
  <si>
    <t xml:space="preserve">bill_type</t>
  </si>
  <si>
    <t xml:space="preserve">Enum: 'business' | 'personal'</t>
  </si>
  <si>
    <t xml:space="preserve">numeric</t>
  </si>
  <si>
    <t xml:space="preserve">Expected monthly cost in USD.</t>
  </si>
  <si>
    <t xml:space="preserve">Populated by Plaid match. NULL until matched.</t>
  </si>
  <si>
    <t xml:space="preserve">Enum: 'monthly' | 'quarterly' | 'annual' | 'weekly' | 'one_time'</t>
  </si>
  <si>
    <t xml:space="preserve">smallint</t>
  </si>
  <si>
    <t xml:space="preserve">Day of month (1–31). NULL for weekly items.</t>
  </si>
  <si>
    <t xml:space="preserve">Week of month (1–4). Used for weekly items.</t>
  </si>
  <si>
    <t xml:space="preserve">Account nickname. e.g. DISCOVER, OZK, Chase.</t>
  </si>
  <si>
    <t xml:space="preserve">boolean</t>
  </si>
  <si>
    <t xml:space="preserve">NOT NULL DEFAULT false</t>
  </si>
  <si>
    <t xml:space="preserve">True = ACH/auto-charge.</t>
  </si>
  <si>
    <t xml:space="preserve">NOT NULL DEFAULT 'active'</t>
  </si>
  <si>
    <t xml:space="preserve">Enum: 'active' | 'cancelled' | 'pending' | 'seasonal'</t>
  </si>
  <si>
    <t xml:space="preserve">NULLABLE DEFAULT 0.15</t>
  </si>
  <si>
    <t xml:space="preserve">Variance % threshold for yellow alert. Default 15%.</t>
  </si>
  <si>
    <t xml:space="preserve">Free-form advisor notes.</t>
  </si>
  <si>
    <t xml:space="preserve">plaid_match_id</t>
  </si>
  <si>
    <t xml:space="preserve">Plaid transaction ID that cleared this bill.</t>
  </si>
  <si>
    <t xml:space="preserve">cleared_at</t>
  </si>
  <si>
    <t xml:space="preserve">timestamptz</t>
  </si>
  <si>
    <t xml:space="preserve">Timestamp when Plaid confirmed payment cleared.</t>
  </si>
  <si>
    <t xml:space="preserve">created_at</t>
  </si>
  <si>
    <t xml:space="preserve">NOT NULL DEFAULT now()</t>
  </si>
  <si>
    <t xml:space="preserve">updated_at</t>
  </si>
  <si>
    <t xml:space="preserve">TABLE: clients</t>
  </si>
  <si>
    <t xml:space="preserve">advisor_id</t>
  </si>
  <si>
    <t xml:space="preserve">FK → users</t>
  </si>
  <si>
    <t xml:space="preserve">Kelli or advisor who manages this client.</t>
  </si>
  <si>
    <t xml:space="preserve">full_name</t>
  </si>
  <si>
    <t xml:space="preserve">email</t>
  </si>
  <si>
    <t xml:space="preserve">UNIQUE NOT NULL</t>
  </si>
  <si>
    <t xml:space="preserve">tier</t>
  </si>
  <si>
    <t xml:space="preserve">Enum: 'standard' | 'upgraded'</t>
  </si>
  <si>
    <t xml:space="preserve">onboarding_complete</t>
  </si>
  <si>
    <t xml:space="preserve">TABLE: payment_alerts</t>
  </si>
  <si>
    <t xml:space="preserve">bill_id</t>
  </si>
  <si>
    <t xml:space="preserve">FK → bills</t>
  </si>
  <si>
    <t xml:space="preserve">alert_type</t>
  </si>
  <si>
    <t xml:space="preserve">Enum: 'yellow' | 'red'</t>
  </si>
  <si>
    <t xml:space="preserve">reason</t>
  </si>
  <si>
    <t xml:space="preserve">e.g. 'overdue' | 'amount_fluctuation' | 'insufficient_funds'</t>
  </si>
  <si>
    <t xml:space="preserve">acknowledged</t>
  </si>
  <si>
    <t xml:space="preserve">acknowledged_at</t>
  </si>
  <si>
    <t xml:space="preserve">TABLE: scheduled_payments (Phase 2 stub)</t>
  </si>
  <si>
    <t xml:space="preserve">scheduled_date</t>
  </si>
  <si>
    <t xml:space="preserve">date</t>
  </si>
  <si>
    <t xml:space="preserve">amount</t>
  </si>
  <si>
    <t xml:space="preserve">NOT NULL DEFAULT 'pending'</t>
  </si>
  <si>
    <t xml:space="preserve">Enum: 'pending' | 'approved' | 'sent' | 'failed'</t>
  </si>
  <si>
    <t xml:space="preserve">approved_by</t>
  </si>
  <si>
    <t xml:space="preserve">Advisor who approved. Required before any payment.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</si>
</sst>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B2A4A"/>
      <name val="Courier New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8"/>
      <color rgb="FF1B2A4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999999"/>
      </patternFill>
    </fill>
    <fill>
      <patternFill patternType="solid">
        <fgColor rgb="FFD6E4F0"/>
        <bgColor rgb="FFE8F5E9"/>
      </patternFill>
    </fill>
    <fill>
      <patternFill patternType="solid">
        <fgColor rgb="FF008000"/>
        <bgColor rgb="FF008080"/>
      </patternFill>
    </fill>
    <fill>
      <patternFill patternType="solid">
        <fgColor rgb="FFFDF3DC"/>
        <bgColor rgb="FFFFFBE6"/>
      </patternFill>
    </fill>
    <fill>
      <patternFill patternType="solid">
        <fgColor rgb="FFCC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E8F5E9"/>
      </patternFill>
    </fill>
    <fill>
      <patternFill patternType="solid">
        <fgColor rgb="FFFFFF99"/>
        <bgColor rgb="FFFDF3DC"/>
      </patternFill>
    </fill>
    <fill>
      <patternFill patternType="solid">
        <fgColor rgb="FFFFFBE6"/>
        <bgColor rgb="FFFDF3DC"/>
      </patternFill>
    </fill>
    <fill>
      <patternFill patternType="solid">
        <fgColor rgb="FFE8F5E9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BE6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8" min="5" style="1" width="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5</v>
      </c>
      <c r="B6" s="6" t="s">
        <v>6</v>
      </c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8" t="s">
        <v>7</v>
      </c>
      <c r="B7" s="6" t="s">
        <v>8</v>
      </c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9" t="s">
        <v>9</v>
      </c>
      <c r="B8" s="6" t="s">
        <v>10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10" t="s">
        <v>11</v>
      </c>
      <c r="B9" s="6" t="s">
        <v>12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11" t="s">
        <v>13</v>
      </c>
      <c r="B10" s="6" t="s">
        <v>14</v>
      </c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12" t="s">
        <v>15</v>
      </c>
      <c r="B11" s="6" t="s">
        <v>16</v>
      </c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8" t="s">
        <v>17</v>
      </c>
      <c r="B12" s="6" t="s">
        <v>18</v>
      </c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13" t="s">
        <v>19</v>
      </c>
      <c r="B13" s="6" t="s">
        <v>20</v>
      </c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14" t="s">
        <v>21</v>
      </c>
      <c r="B14" s="6" t="s">
        <v>22</v>
      </c>
      <c r="C14" s="6"/>
      <c r="D14" s="6"/>
      <c r="E14" s="6"/>
      <c r="F14" s="6"/>
      <c r="G14" s="6"/>
      <c r="H14" s="6"/>
    </row>
    <row r="15" customFormat="false" ht="7.5" hidden="false" customHeight="true" outlineLevel="0" collapsed="false"/>
    <row r="16" customFormat="false" ht="21.75" hidden="false" customHeight="true" outlineLevel="0" collapsed="false">
      <c r="A16" s="4" t="s">
        <v>23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A17" s="15" t="s">
        <v>24</v>
      </c>
      <c r="B17" s="16" t="s">
        <v>25</v>
      </c>
      <c r="C17" s="16"/>
      <c r="D17" s="16"/>
      <c r="E17" s="16"/>
      <c r="F17" s="16"/>
      <c r="G17" s="16"/>
      <c r="H17" s="16"/>
    </row>
    <row r="18" customFormat="false" ht="27.75" hidden="false" customHeight="true" outlineLevel="0" collapsed="false">
      <c r="A18" s="15" t="s">
        <v>26</v>
      </c>
      <c r="B18" s="16" t="s">
        <v>27</v>
      </c>
      <c r="C18" s="16"/>
      <c r="D18" s="16"/>
      <c r="E18" s="16"/>
      <c r="F18" s="16"/>
      <c r="G18" s="16"/>
      <c r="H18" s="16"/>
    </row>
    <row r="19" customFormat="false" ht="27.75" hidden="false" customHeight="true" outlineLevel="0" collapsed="false">
      <c r="A19" s="15" t="s">
        <v>28</v>
      </c>
      <c r="B19" s="16" t="s">
        <v>29</v>
      </c>
      <c r="C19" s="16"/>
      <c r="D19" s="16"/>
      <c r="E19" s="16"/>
      <c r="F19" s="16"/>
      <c r="G19" s="16"/>
      <c r="H19" s="16"/>
    </row>
    <row r="20" customFormat="false" ht="27.75" hidden="false" customHeight="true" outlineLevel="0" collapsed="false">
      <c r="A20" s="15" t="s">
        <v>30</v>
      </c>
      <c r="B20" s="16" t="s">
        <v>31</v>
      </c>
      <c r="C20" s="16"/>
      <c r="D20" s="16"/>
      <c r="E20" s="16"/>
      <c r="F20" s="16"/>
      <c r="G20" s="16"/>
      <c r="H20" s="16"/>
    </row>
    <row r="21" customFormat="false" ht="27.75" hidden="false" customHeight="true" outlineLevel="0" collapsed="false">
      <c r="A21" s="15" t="s">
        <v>32</v>
      </c>
      <c r="B21" s="16" t="s">
        <v>33</v>
      </c>
      <c r="C21" s="16"/>
      <c r="D21" s="16"/>
      <c r="E21" s="16"/>
      <c r="F21" s="16"/>
      <c r="G21" s="16"/>
      <c r="H21" s="16"/>
    </row>
    <row r="22" customFormat="false" ht="27.75" hidden="false" customHeight="true" outlineLevel="0" collapsed="false">
      <c r="A22" s="15" t="s">
        <v>34</v>
      </c>
      <c r="B22" s="16" t="s">
        <v>35</v>
      </c>
      <c r="C22" s="16"/>
      <c r="D22" s="16"/>
      <c r="E22" s="16"/>
      <c r="F22" s="16"/>
      <c r="G22" s="16"/>
      <c r="H22" s="16"/>
    </row>
    <row r="23" customFormat="false" ht="7.5" hidden="false" customHeight="true" outlineLevel="0" collapsed="false"/>
    <row r="24" customFormat="false" ht="21.75" hidden="false" customHeight="true" outlineLevel="0" collapsed="false">
      <c r="A24" s="4" t="s">
        <v>36</v>
      </c>
      <c r="B24" s="4"/>
      <c r="C24" s="4"/>
      <c r="D24" s="4"/>
      <c r="E24" s="4"/>
      <c r="F24" s="4"/>
      <c r="G24" s="4"/>
      <c r="H24" s="4"/>
    </row>
    <row r="25" customFormat="false" ht="30" hidden="false" customHeight="true" outlineLevel="0" collapsed="false">
      <c r="A25" s="17" t="s">
        <v>37</v>
      </c>
      <c r="B25" s="17" t="s">
        <v>38</v>
      </c>
      <c r="C25" s="17" t="s">
        <v>39</v>
      </c>
      <c r="D25" s="17" t="s">
        <v>40</v>
      </c>
      <c r="E25" s="17"/>
      <c r="F25" s="17"/>
      <c r="G25" s="17"/>
      <c r="H25" s="17"/>
    </row>
    <row r="26" customFormat="false" ht="19.5" hidden="false" customHeight="true" outlineLevel="0" collapsed="false">
      <c r="A26" s="18" t="s">
        <v>41</v>
      </c>
      <c r="B26" s="19" t="s">
        <v>42</v>
      </c>
      <c r="C26" s="19" t="s">
        <v>43</v>
      </c>
      <c r="D26" s="20" t="s">
        <v>44</v>
      </c>
      <c r="E26" s="20"/>
      <c r="F26" s="20"/>
      <c r="G26" s="20"/>
      <c r="H26" s="20"/>
    </row>
    <row r="27" customFormat="false" ht="19.5" hidden="false" customHeight="true" outlineLevel="0" collapsed="false">
      <c r="A27" s="21" t="s">
        <v>45</v>
      </c>
      <c r="B27" s="22" t="s">
        <v>42</v>
      </c>
      <c r="C27" s="22" t="s">
        <v>43</v>
      </c>
      <c r="D27" s="23" t="s">
        <v>46</v>
      </c>
      <c r="E27" s="23"/>
      <c r="F27" s="23"/>
      <c r="G27" s="23"/>
      <c r="H27" s="23"/>
    </row>
    <row r="28" customFormat="false" ht="19.5" hidden="false" customHeight="true" outlineLevel="0" collapsed="false">
      <c r="A28" s="18" t="s">
        <v>47</v>
      </c>
      <c r="B28" s="19" t="s">
        <v>42</v>
      </c>
      <c r="C28" s="19" t="s">
        <v>48</v>
      </c>
      <c r="D28" s="20" t="s">
        <v>49</v>
      </c>
      <c r="E28" s="20"/>
      <c r="F28" s="20"/>
      <c r="G28" s="20"/>
      <c r="H28" s="20"/>
    </row>
    <row r="29" customFormat="false" ht="19.5" hidden="false" customHeight="true" outlineLevel="0" collapsed="false">
      <c r="A29" s="21" t="s">
        <v>50</v>
      </c>
      <c r="B29" s="22" t="s">
        <v>51</v>
      </c>
      <c r="C29" s="22" t="s">
        <v>43</v>
      </c>
      <c r="D29" s="23" t="s">
        <v>52</v>
      </c>
      <c r="E29" s="23"/>
      <c r="F29" s="23"/>
      <c r="G29" s="23"/>
      <c r="H29" s="23"/>
    </row>
    <row r="30" customFormat="false" ht="19.5" hidden="false" customHeight="true" outlineLevel="0" collapsed="false">
      <c r="A30" s="18" t="s">
        <v>53</v>
      </c>
      <c r="B30" s="19" t="s">
        <v>51</v>
      </c>
      <c r="C30" s="19" t="s">
        <v>54</v>
      </c>
      <c r="D30" s="20" t="s">
        <v>55</v>
      </c>
      <c r="E30" s="20"/>
      <c r="F30" s="20"/>
      <c r="G30" s="20"/>
      <c r="H30" s="20"/>
    </row>
    <row r="31" customFormat="false" ht="19.5" hidden="false" customHeight="true" outlineLevel="0" collapsed="false">
      <c r="A31" s="21" t="s">
        <v>56</v>
      </c>
      <c r="B31" s="22" t="s">
        <v>51</v>
      </c>
      <c r="C31" s="22" t="s">
        <v>54</v>
      </c>
      <c r="D31" s="23" t="s">
        <v>57</v>
      </c>
      <c r="E31" s="23"/>
      <c r="F31" s="23"/>
      <c r="G31" s="23"/>
      <c r="H31" s="23"/>
    </row>
    <row r="32" customFormat="false" ht="19.5" hidden="false" customHeight="true" outlineLevel="0" collapsed="false">
      <c r="A32" s="18" t="s">
        <v>58</v>
      </c>
      <c r="B32" s="19" t="s">
        <v>59</v>
      </c>
      <c r="C32" s="19" t="s">
        <v>54</v>
      </c>
      <c r="D32" s="20" t="s">
        <v>60</v>
      </c>
      <c r="E32" s="20"/>
      <c r="F32" s="20"/>
      <c r="G32" s="20"/>
      <c r="H32" s="20"/>
    </row>
    <row r="33" customFormat="false" ht="19.5" hidden="false" customHeight="true" outlineLevel="0" collapsed="false">
      <c r="A33" s="21" t="s">
        <v>61</v>
      </c>
      <c r="B33" s="22" t="s">
        <v>42</v>
      </c>
      <c r="C33" s="22" t="s">
        <v>43</v>
      </c>
      <c r="D33" s="23" t="s">
        <v>62</v>
      </c>
      <c r="E33" s="23"/>
      <c r="F33" s="23"/>
      <c r="G33" s="23"/>
      <c r="H33" s="23"/>
    </row>
    <row r="34" customFormat="false" ht="19.5" hidden="false" customHeight="true" outlineLevel="0" collapsed="false">
      <c r="A34" s="18" t="s">
        <v>63</v>
      </c>
      <c r="B34" s="19" t="s">
        <v>64</v>
      </c>
      <c r="C34" s="19" t="s">
        <v>43</v>
      </c>
      <c r="D34" s="20" t="s">
        <v>65</v>
      </c>
      <c r="E34" s="20"/>
      <c r="F34" s="20"/>
      <c r="G34" s="20"/>
      <c r="H34" s="20"/>
    </row>
    <row r="35" customFormat="false" ht="19.5" hidden="false" customHeight="true" outlineLevel="0" collapsed="false">
      <c r="A35" s="21" t="s">
        <v>66</v>
      </c>
      <c r="B35" s="22" t="s">
        <v>64</v>
      </c>
      <c r="C35" s="22" t="s">
        <v>48</v>
      </c>
      <c r="D35" s="23" t="s">
        <v>67</v>
      </c>
      <c r="E35" s="23"/>
      <c r="F35" s="23"/>
      <c r="G35" s="23"/>
      <c r="H35" s="23"/>
    </row>
    <row r="36" customFormat="false" ht="19.5" hidden="false" customHeight="true" outlineLevel="0" collapsed="false">
      <c r="A36" s="18" t="s">
        <v>68</v>
      </c>
      <c r="B36" s="19" t="s">
        <v>42</v>
      </c>
      <c r="C36" s="19" t="s">
        <v>43</v>
      </c>
      <c r="D36" s="20" t="s">
        <v>69</v>
      </c>
      <c r="E36" s="20"/>
      <c r="F36" s="20"/>
      <c r="G36" s="20"/>
      <c r="H36" s="20"/>
    </row>
    <row r="37" customFormat="false" ht="19.5" hidden="false" customHeight="true" outlineLevel="0" collapsed="false">
      <c r="A37" s="21" t="s">
        <v>70</v>
      </c>
      <c r="B37" s="22" t="s">
        <v>71</v>
      </c>
      <c r="C37" s="22" t="s">
        <v>43</v>
      </c>
      <c r="D37" s="23" t="s">
        <v>72</v>
      </c>
      <c r="E37" s="23"/>
      <c r="F37" s="23"/>
      <c r="G37" s="23"/>
      <c r="H37" s="23"/>
    </row>
    <row r="38" customFormat="false" ht="19.5" hidden="false" customHeight="true" outlineLevel="0" collapsed="false">
      <c r="A38" s="18" t="s">
        <v>73</v>
      </c>
      <c r="B38" s="19" t="s">
        <v>42</v>
      </c>
      <c r="C38" s="19" t="s">
        <v>43</v>
      </c>
      <c r="D38" s="20" t="s">
        <v>74</v>
      </c>
      <c r="E38" s="20"/>
      <c r="F38" s="20"/>
      <c r="G38" s="20"/>
      <c r="H38" s="20"/>
    </row>
    <row r="39" customFormat="false" ht="19.5" hidden="false" customHeight="true" outlineLevel="0" collapsed="false">
      <c r="A39" s="21" t="s">
        <v>75</v>
      </c>
      <c r="B39" s="22" t="s">
        <v>59</v>
      </c>
      <c r="C39" s="22" t="s">
        <v>48</v>
      </c>
      <c r="D39" s="23" t="s">
        <v>76</v>
      </c>
      <c r="E39" s="23"/>
      <c r="F39" s="23"/>
      <c r="G39" s="23"/>
      <c r="H39" s="23"/>
    </row>
    <row r="40" customFormat="false" ht="19.5" hidden="false" customHeight="true" outlineLevel="0" collapsed="false">
      <c r="A40" s="18" t="s">
        <v>77</v>
      </c>
      <c r="B40" s="19" t="s">
        <v>42</v>
      </c>
      <c r="C40" s="19" t="s">
        <v>48</v>
      </c>
      <c r="D40" s="20" t="s">
        <v>78</v>
      </c>
      <c r="E40" s="20"/>
      <c r="F40" s="20"/>
      <c r="G40" s="20"/>
      <c r="H40" s="20"/>
    </row>
    <row r="43" customFormat="false" ht="21.75" hidden="false" customHeight="true" outlineLevel="0" collapsed="false">
      <c r="A43" s="4" t="s">
        <v>79</v>
      </c>
      <c r="B43" s="4"/>
      <c r="C43" s="4"/>
      <c r="D43" s="4"/>
      <c r="E43" s="4"/>
      <c r="F43" s="4"/>
      <c r="G43" s="4"/>
      <c r="H43" s="4"/>
    </row>
    <row r="44" customFormat="false" ht="30" hidden="false" customHeight="true" outlineLevel="0" collapsed="false">
      <c r="A44" s="24" t="s">
        <v>80</v>
      </c>
      <c r="B44" s="24"/>
      <c r="C44" s="24" t="s">
        <v>81</v>
      </c>
      <c r="D44" s="24"/>
      <c r="E44" s="24"/>
      <c r="F44" s="24"/>
      <c r="G44" s="24"/>
      <c r="H44" s="24"/>
    </row>
    <row r="45" customFormat="false" ht="15" hidden="false" customHeight="true" outlineLevel="0" collapsed="false">
      <c r="A45" s="25" t="s">
        <v>82</v>
      </c>
      <c r="B45" s="25"/>
      <c r="C45" s="26" t="s">
        <v>83</v>
      </c>
      <c r="D45" s="26"/>
      <c r="E45" s="26"/>
      <c r="F45" s="26"/>
      <c r="G45" s="26"/>
      <c r="H45" s="26"/>
    </row>
    <row r="46" customFormat="false" ht="15" hidden="false" customHeight="true" outlineLevel="0" collapsed="false">
      <c r="A46" s="27" t="s">
        <v>84</v>
      </c>
      <c r="B46" s="27"/>
      <c r="C46" s="27" t="s">
        <v>85</v>
      </c>
      <c r="D46" s="27"/>
      <c r="E46" s="27"/>
      <c r="F46" s="27"/>
      <c r="G46" s="27"/>
      <c r="H46" s="27"/>
    </row>
    <row r="47" customFormat="false" ht="15" hidden="false" customHeight="true" outlineLevel="0" collapsed="false">
      <c r="A47" s="25" t="s">
        <v>86</v>
      </c>
      <c r="B47" s="25"/>
      <c r="C47" s="26" t="s">
        <v>87</v>
      </c>
      <c r="D47" s="26"/>
      <c r="E47" s="26"/>
      <c r="F47" s="26"/>
      <c r="G47" s="26"/>
      <c r="H47" s="26"/>
    </row>
    <row r="48" customFormat="false" ht="15" hidden="false" customHeight="true" outlineLevel="0" collapsed="false">
      <c r="A48" s="27" t="s">
        <v>88</v>
      </c>
      <c r="B48" s="27"/>
      <c r="C48" s="27" t="s">
        <v>89</v>
      </c>
      <c r="D48" s="27"/>
      <c r="E48" s="27"/>
      <c r="F48" s="27"/>
      <c r="G48" s="27"/>
      <c r="H48" s="27"/>
    </row>
    <row r="49" customFormat="false" ht="15" hidden="false" customHeight="true" outlineLevel="0" collapsed="false">
      <c r="A49" s="25" t="s">
        <v>90</v>
      </c>
      <c r="B49" s="25"/>
      <c r="C49" s="26" t="s">
        <v>84</v>
      </c>
      <c r="D49" s="26"/>
      <c r="E49" s="26"/>
      <c r="F49" s="26"/>
      <c r="G49" s="26"/>
      <c r="H49" s="26"/>
    </row>
    <row r="50" customFormat="false" ht="15" hidden="false" customHeight="true" outlineLevel="0" collapsed="false">
      <c r="A50" s="27" t="s">
        <v>91</v>
      </c>
      <c r="B50" s="27"/>
      <c r="C50" s="27" t="s">
        <v>92</v>
      </c>
      <c r="D50" s="27"/>
      <c r="E50" s="27"/>
      <c r="F50" s="27"/>
      <c r="G50" s="27"/>
      <c r="H50" s="27"/>
    </row>
    <row r="51" customFormat="false" ht="15" hidden="false" customHeight="true" outlineLevel="0" collapsed="false">
      <c r="A51" s="25" t="s">
        <v>93</v>
      </c>
      <c r="B51" s="25"/>
      <c r="C51" s="26" t="s">
        <v>94</v>
      </c>
      <c r="D51" s="26"/>
      <c r="E51" s="26"/>
      <c r="F51" s="26"/>
      <c r="G51" s="26"/>
      <c r="H51" s="26"/>
    </row>
    <row r="52" customFormat="false" ht="15" hidden="false" customHeight="true" outlineLevel="0" collapsed="false">
      <c r="A52" s="27" t="s">
        <v>95</v>
      </c>
      <c r="B52" s="27"/>
      <c r="C52" s="27" t="s">
        <v>96</v>
      </c>
      <c r="D52" s="27"/>
      <c r="E52" s="27"/>
      <c r="F52" s="27"/>
      <c r="G52" s="27"/>
      <c r="H52" s="27"/>
    </row>
    <row r="53" customFormat="false" ht="15" hidden="false" customHeight="true" outlineLevel="0" collapsed="false">
      <c r="A53" s="25" t="s">
        <v>97</v>
      </c>
      <c r="B53" s="25"/>
      <c r="C53" s="26" t="s">
        <v>98</v>
      </c>
      <c r="D53" s="26"/>
      <c r="E53" s="26"/>
      <c r="F53" s="26"/>
      <c r="G53" s="26"/>
      <c r="H53" s="26"/>
    </row>
    <row r="54" customFormat="false" ht="15" hidden="false" customHeight="true" outlineLevel="0" collapsed="false">
      <c r="A54" s="27" t="s">
        <v>99</v>
      </c>
      <c r="B54" s="27"/>
      <c r="C54" s="27" t="s">
        <v>100</v>
      </c>
      <c r="D54" s="27"/>
      <c r="E54" s="27"/>
      <c r="F54" s="27"/>
      <c r="G54" s="27"/>
      <c r="H54" s="27"/>
    </row>
    <row r="55" customFormat="false" ht="15" hidden="false" customHeight="true" outlineLevel="0" collapsed="false">
      <c r="A55" s="25" t="s">
        <v>101</v>
      </c>
      <c r="B55" s="25"/>
      <c r="C55" s="26" t="s">
        <v>102</v>
      </c>
      <c r="D55" s="26"/>
      <c r="E55" s="26"/>
      <c r="F55" s="26"/>
      <c r="G55" s="26"/>
      <c r="H55" s="26"/>
    </row>
    <row r="56" customFormat="false" ht="15" hidden="false" customHeight="true" outlineLevel="0" collapsed="false">
      <c r="A56" s="27" t="s">
        <v>103</v>
      </c>
      <c r="B56" s="27"/>
      <c r="C56" s="27" t="s">
        <v>104</v>
      </c>
      <c r="D56" s="27"/>
      <c r="E56" s="27"/>
      <c r="F56" s="27"/>
      <c r="G56" s="27"/>
      <c r="H56" s="27"/>
    </row>
  </sheetData>
  <mergeCells count="64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A16:H16"/>
    <mergeCell ref="B17:H17"/>
    <mergeCell ref="B18:H18"/>
    <mergeCell ref="B19:H19"/>
    <mergeCell ref="B20:H20"/>
    <mergeCell ref="B21:H21"/>
    <mergeCell ref="B22:H22"/>
    <mergeCell ref="A24:H24"/>
    <mergeCell ref="E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A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20"/>
    <col collapsed="false" customWidth="true" hidden="false" outlineLevel="0" max="13" min="12" style="1" width="10"/>
    <col collapsed="false" customWidth="true" hidden="false" outlineLevel="0" max="14" min="14" style="1" width="22"/>
  </cols>
  <sheetData>
    <row r="1" customFormat="false" ht="31.5" hidden="false" customHeight="true" outlineLevel="0" collapsed="false">
      <c r="A1" s="28" t="s">
        <v>105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5.75" hidden="false" customHeight="true" outlineLevel="0" collapsed="false">
      <c r="A2" s="29" t="s">
        <v>106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21.75" hidden="false" customHeight="true" outlineLevel="0" collapsed="false">
      <c r="A3" s="3" t="s">
        <v>107</v>
      </c>
      <c r="B3" s="3"/>
      <c r="C3" s="3"/>
      <c r="D3" s="30" t="n">
        <f aca="false">D66</f>
        <v>14760.95</v>
      </c>
      <c r="E3" s="30" t="n">
        <f aca="false">E66</f>
        <v>0</v>
      </c>
      <c r="F3" s="30" t="n">
        <f aca="false">F66</f>
        <v>-14760.95</v>
      </c>
    </row>
    <row r="4" customFormat="false" ht="30" hidden="false" customHeight="true" outlineLevel="0" collapsed="false">
      <c r="A4" s="17" t="s">
        <v>108</v>
      </c>
      <c r="B4" s="17" t="s">
        <v>109</v>
      </c>
      <c r="C4" s="17" t="s">
        <v>110</v>
      </c>
      <c r="D4" s="17" t="s">
        <v>111</v>
      </c>
      <c r="E4" s="17" t="s">
        <v>112</v>
      </c>
      <c r="F4" s="17" t="s">
        <v>113</v>
      </c>
      <c r="G4" s="17" t="s">
        <v>114</v>
      </c>
      <c r="H4" s="17" t="s">
        <v>115</v>
      </c>
      <c r="I4" s="17" t="s">
        <v>116</v>
      </c>
      <c r="J4" s="17" t="s">
        <v>117</v>
      </c>
      <c r="K4" s="17" t="s">
        <v>118</v>
      </c>
      <c r="L4" s="17" t="s">
        <v>119</v>
      </c>
      <c r="M4" s="17" t="s">
        <v>120</v>
      </c>
      <c r="N4" s="17" t="s">
        <v>121</v>
      </c>
    </row>
    <row r="5" customFormat="false" ht="19.5" hidden="false" customHeight="true" outlineLevel="0" collapsed="false">
      <c r="A5" s="31" t="s">
        <v>122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8" hidden="false" customHeight="true" outlineLevel="0" collapsed="false">
      <c r="A6" s="32" t="n">
        <v>1</v>
      </c>
      <c r="B6" s="33" t="s">
        <v>123</v>
      </c>
      <c r="C6" s="33" t="s">
        <v>82</v>
      </c>
      <c r="D6" s="34" t="n">
        <v>453.19</v>
      </c>
      <c r="E6" s="35"/>
      <c r="F6" s="36" t="str">
        <f aca="false">IF(E6&lt;&gt;"",E6-D6,"")</f>
        <v/>
      </c>
      <c r="G6" s="37" t="str">
        <f aca="false">IF(AND(D6&lt;&gt;0,E6&lt;&gt;""),F6/D6,"")</f>
        <v/>
      </c>
      <c r="H6" s="38" t="s">
        <v>124</v>
      </c>
      <c r="I6" s="38" t="s">
        <v>125</v>
      </c>
      <c r="J6" s="38"/>
      <c r="K6" s="33" t="s">
        <v>126</v>
      </c>
      <c r="L6" s="38" t="s">
        <v>127</v>
      </c>
      <c r="M6" s="38" t="s">
        <v>128</v>
      </c>
      <c r="N6" s="39"/>
    </row>
    <row r="7" customFormat="false" ht="18" hidden="false" customHeight="true" outlineLevel="0" collapsed="false">
      <c r="A7" s="19" t="n">
        <v>2</v>
      </c>
      <c r="B7" s="40" t="s">
        <v>129</v>
      </c>
      <c r="C7" s="40" t="s">
        <v>82</v>
      </c>
      <c r="D7" s="41" t="n">
        <v>120</v>
      </c>
      <c r="E7" s="35"/>
      <c r="F7" s="42" t="str">
        <f aca="false">IF(E7&lt;&gt;"",E7-D7,"")</f>
        <v/>
      </c>
      <c r="G7" s="43" t="str">
        <f aca="false">IF(AND(D7&lt;&gt;0,E7&lt;&gt;""),F7/D7,"")</f>
        <v/>
      </c>
      <c r="H7" s="44" t="s">
        <v>124</v>
      </c>
      <c r="I7" s="44" t="s">
        <v>125</v>
      </c>
      <c r="J7" s="44"/>
      <c r="K7" s="40" t="s">
        <v>130</v>
      </c>
      <c r="L7" s="44" t="s">
        <v>131</v>
      </c>
      <c r="M7" s="44" t="s">
        <v>128</v>
      </c>
      <c r="N7" s="45"/>
    </row>
    <row r="8" customFormat="false" ht="18" hidden="false" customHeight="true" outlineLevel="0" collapsed="false">
      <c r="A8" s="32" t="n">
        <v>3</v>
      </c>
      <c r="B8" s="33" t="s">
        <v>132</v>
      </c>
      <c r="C8" s="33" t="s">
        <v>82</v>
      </c>
      <c r="D8" s="34" t="n">
        <v>100</v>
      </c>
      <c r="E8" s="35"/>
      <c r="F8" s="36" t="str">
        <f aca="false">IF(E8&lt;&gt;"",E8-D8,"")</f>
        <v/>
      </c>
      <c r="G8" s="37" t="str">
        <f aca="false">IF(AND(D8&lt;&gt;0,E8&lt;&gt;""),F8/D8,"")</f>
        <v/>
      </c>
      <c r="H8" s="38" t="s">
        <v>124</v>
      </c>
      <c r="I8" s="38" t="s">
        <v>125</v>
      </c>
      <c r="J8" s="38"/>
      <c r="K8" s="33" t="s">
        <v>130</v>
      </c>
      <c r="L8" s="38" t="s">
        <v>127</v>
      </c>
      <c r="M8" s="38" t="s">
        <v>128</v>
      </c>
      <c r="N8" s="39"/>
    </row>
    <row r="9" customFormat="false" ht="18" hidden="false" customHeight="true" outlineLevel="0" collapsed="false">
      <c r="A9" s="19" t="n">
        <v>4</v>
      </c>
      <c r="B9" s="40" t="s">
        <v>133</v>
      </c>
      <c r="C9" s="40" t="s">
        <v>82</v>
      </c>
      <c r="D9" s="41" t="n">
        <v>152.45</v>
      </c>
      <c r="E9" s="35"/>
      <c r="F9" s="42" t="str">
        <f aca="false">IF(E9&lt;&gt;"",E9-D9,"")</f>
        <v/>
      </c>
      <c r="G9" s="43" t="str">
        <f aca="false">IF(AND(D9&lt;&gt;0,E9&lt;&gt;""),F9/D9,"")</f>
        <v/>
      </c>
      <c r="H9" s="44" t="s">
        <v>124</v>
      </c>
      <c r="I9" s="44" t="s">
        <v>134</v>
      </c>
      <c r="J9" s="44"/>
      <c r="K9" s="40" t="s">
        <v>130</v>
      </c>
      <c r="L9" s="44" t="s">
        <v>127</v>
      </c>
      <c r="M9" s="44" t="s">
        <v>128</v>
      </c>
      <c r="N9" s="45"/>
    </row>
    <row r="10" customFormat="false" ht="18" hidden="false" customHeight="true" outlineLevel="0" collapsed="false">
      <c r="A10" s="32" t="n">
        <v>5</v>
      </c>
      <c r="B10" s="33" t="s">
        <v>135</v>
      </c>
      <c r="C10" s="33" t="s">
        <v>82</v>
      </c>
      <c r="D10" s="34" t="n">
        <v>20</v>
      </c>
      <c r="E10" s="35"/>
      <c r="F10" s="36" t="str">
        <f aca="false">IF(E10&lt;&gt;"",E10-D10,"")</f>
        <v/>
      </c>
      <c r="G10" s="37" t="str">
        <f aca="false">IF(AND(D10&lt;&gt;0,E10&lt;&gt;""),F10/D10,"")</f>
        <v/>
      </c>
      <c r="H10" s="38" t="s">
        <v>124</v>
      </c>
      <c r="I10" s="38" t="s">
        <v>136</v>
      </c>
      <c r="J10" s="38"/>
      <c r="K10" s="33" t="s">
        <v>130</v>
      </c>
      <c r="L10" s="38" t="s">
        <v>127</v>
      </c>
      <c r="M10" s="38" t="s">
        <v>128</v>
      </c>
      <c r="N10" s="39"/>
    </row>
    <row r="11" customFormat="false" ht="18" hidden="false" customHeight="true" outlineLevel="0" collapsed="false">
      <c r="A11" s="19" t="n">
        <v>6</v>
      </c>
      <c r="B11" s="40" t="s">
        <v>137</v>
      </c>
      <c r="C11" s="40" t="s">
        <v>82</v>
      </c>
      <c r="D11" s="41" t="n">
        <v>9.99</v>
      </c>
      <c r="E11" s="35"/>
      <c r="F11" s="42" t="str">
        <f aca="false">IF(E11&lt;&gt;"",E11-D11,"")</f>
        <v/>
      </c>
      <c r="G11" s="43" t="str">
        <f aca="false">IF(AND(D11&lt;&gt;0,E11&lt;&gt;""),F11/D11,"")</f>
        <v/>
      </c>
      <c r="H11" s="44" t="s">
        <v>124</v>
      </c>
      <c r="I11" s="44" t="s">
        <v>138</v>
      </c>
      <c r="J11" s="44"/>
      <c r="K11" s="40" t="s">
        <v>130</v>
      </c>
      <c r="L11" s="44" t="s">
        <v>127</v>
      </c>
      <c r="M11" s="44" t="s">
        <v>128</v>
      </c>
      <c r="N11" s="45"/>
    </row>
    <row r="12" customFormat="false" ht="18" hidden="false" customHeight="true" outlineLevel="0" collapsed="false">
      <c r="A12" s="32" t="n">
        <v>7</v>
      </c>
      <c r="B12" s="33" t="s">
        <v>139</v>
      </c>
      <c r="C12" s="33" t="s">
        <v>82</v>
      </c>
      <c r="D12" s="34" t="n">
        <v>142.84</v>
      </c>
      <c r="E12" s="35"/>
      <c r="F12" s="36" t="str">
        <f aca="false">IF(E12&lt;&gt;"",E12-D12,"")</f>
        <v/>
      </c>
      <c r="G12" s="37" t="str">
        <f aca="false">IF(AND(D12&lt;&gt;0,E12&lt;&gt;""),F12/D12,"")</f>
        <v/>
      </c>
      <c r="H12" s="38" t="s">
        <v>124</v>
      </c>
      <c r="I12" s="38" t="s">
        <v>140</v>
      </c>
      <c r="J12" s="38"/>
      <c r="K12" s="33" t="s">
        <v>130</v>
      </c>
      <c r="L12" s="38" t="s">
        <v>127</v>
      </c>
      <c r="M12" s="38" t="s">
        <v>128</v>
      </c>
      <c r="N12" s="39"/>
    </row>
    <row r="13" customFormat="false" ht="18" hidden="false" customHeight="true" outlineLevel="0" collapsed="false">
      <c r="A13" s="19" t="n">
        <v>8</v>
      </c>
      <c r="B13" s="40" t="s">
        <v>141</v>
      </c>
      <c r="C13" s="40" t="s">
        <v>82</v>
      </c>
      <c r="D13" s="41" t="n">
        <v>51.23</v>
      </c>
      <c r="E13" s="35"/>
      <c r="F13" s="42" t="str">
        <f aca="false">IF(E13&lt;&gt;"",E13-D13,"")</f>
        <v/>
      </c>
      <c r="G13" s="43" t="str">
        <f aca="false">IF(AND(D13&lt;&gt;0,E13&lt;&gt;""),F13/D13,"")</f>
        <v/>
      </c>
      <c r="H13" s="44" t="s">
        <v>124</v>
      </c>
      <c r="I13" s="44" t="s">
        <v>142</v>
      </c>
      <c r="J13" s="44"/>
      <c r="K13" s="40" t="s">
        <v>130</v>
      </c>
      <c r="L13" s="44" t="s">
        <v>131</v>
      </c>
      <c r="M13" s="44" t="s">
        <v>128</v>
      </c>
      <c r="N13" s="45" t="s">
        <v>143</v>
      </c>
    </row>
    <row r="14" customFormat="false" ht="18" hidden="false" customHeight="true" outlineLevel="0" collapsed="false">
      <c r="A14" s="32" t="n">
        <v>9</v>
      </c>
      <c r="B14" s="33" t="s">
        <v>144</v>
      </c>
      <c r="C14" s="33" t="s">
        <v>82</v>
      </c>
      <c r="D14" s="34" t="n">
        <v>100</v>
      </c>
      <c r="E14" s="35"/>
      <c r="F14" s="36" t="str">
        <f aca="false">IF(E14&lt;&gt;"",E14-D14,"")</f>
        <v/>
      </c>
      <c r="G14" s="37" t="str">
        <f aca="false">IF(AND(D14&lt;&gt;0,E14&lt;&gt;""),F14/D14,"")</f>
        <v/>
      </c>
      <c r="H14" s="38" t="s">
        <v>124</v>
      </c>
      <c r="I14" s="38" t="s">
        <v>142</v>
      </c>
      <c r="J14" s="38"/>
      <c r="K14" s="33" t="s">
        <v>130</v>
      </c>
      <c r="L14" s="38" t="s">
        <v>131</v>
      </c>
      <c r="M14" s="38" t="s">
        <v>128</v>
      </c>
      <c r="N14" s="39"/>
    </row>
    <row r="15" customFormat="false" ht="18" hidden="false" customHeight="true" outlineLevel="0" collapsed="false">
      <c r="A15" s="19" t="n">
        <v>10</v>
      </c>
      <c r="B15" s="40" t="s">
        <v>145</v>
      </c>
      <c r="C15" s="40" t="s">
        <v>82</v>
      </c>
      <c r="D15" s="41" t="n">
        <v>140</v>
      </c>
      <c r="E15" s="35"/>
      <c r="F15" s="42" t="str">
        <f aca="false">IF(E15&lt;&gt;"",E15-D15,"")</f>
        <v/>
      </c>
      <c r="G15" s="43" t="str">
        <f aca="false">IF(AND(D15&lt;&gt;0,E15&lt;&gt;""),F15/D15,"")</f>
        <v/>
      </c>
      <c r="H15" s="44" t="s">
        <v>124</v>
      </c>
      <c r="I15" s="44" t="s">
        <v>146</v>
      </c>
      <c r="J15" s="44"/>
      <c r="K15" s="40" t="s">
        <v>130</v>
      </c>
      <c r="L15" s="44" t="s">
        <v>127</v>
      </c>
      <c r="M15" s="44" t="s">
        <v>128</v>
      </c>
      <c r="N15" s="45"/>
    </row>
    <row r="16" customFormat="false" ht="18" hidden="false" customHeight="true" outlineLevel="0" collapsed="false">
      <c r="A16" s="32" t="n">
        <v>11</v>
      </c>
      <c r="B16" s="33" t="s">
        <v>147</v>
      </c>
      <c r="C16" s="33" t="s">
        <v>82</v>
      </c>
      <c r="D16" s="34" t="n">
        <v>21.31</v>
      </c>
      <c r="E16" s="35"/>
      <c r="F16" s="36" t="str">
        <f aca="false">IF(E16&lt;&gt;"",E16-D16,"")</f>
        <v/>
      </c>
      <c r="G16" s="37" t="str">
        <f aca="false">IF(AND(D16&lt;&gt;0,E16&lt;&gt;""),F16/D16,"")</f>
        <v/>
      </c>
      <c r="H16" s="38" t="s">
        <v>124</v>
      </c>
      <c r="I16" s="38" t="s">
        <v>148</v>
      </c>
      <c r="J16" s="38"/>
      <c r="K16" s="33" t="s">
        <v>130</v>
      </c>
      <c r="L16" s="38" t="s">
        <v>131</v>
      </c>
      <c r="M16" s="38" t="s">
        <v>128</v>
      </c>
      <c r="N16" s="39"/>
    </row>
    <row r="17" customFormat="false" ht="18" hidden="false" customHeight="true" outlineLevel="0" collapsed="false">
      <c r="A17" s="19" t="n">
        <v>12</v>
      </c>
      <c r="B17" s="40" t="s">
        <v>149</v>
      </c>
      <c r="C17" s="40" t="s">
        <v>82</v>
      </c>
      <c r="D17" s="41" t="n">
        <v>60</v>
      </c>
      <c r="E17" s="35"/>
      <c r="F17" s="42" t="str">
        <f aca="false">IF(E17&lt;&gt;"",E17-D17,"")</f>
        <v/>
      </c>
      <c r="G17" s="43" t="str">
        <f aca="false">IF(AND(D17&lt;&gt;0,E17&lt;&gt;""),F17/D17,"")</f>
        <v/>
      </c>
      <c r="H17" s="44" t="s">
        <v>124</v>
      </c>
      <c r="I17" s="44" t="s">
        <v>150</v>
      </c>
      <c r="J17" s="44"/>
      <c r="K17" s="40" t="s">
        <v>130</v>
      </c>
      <c r="L17" s="44" t="s">
        <v>131</v>
      </c>
      <c r="M17" s="44" t="s">
        <v>128</v>
      </c>
      <c r="N17" s="45"/>
    </row>
    <row r="18" customFormat="false" ht="18" hidden="false" customHeight="true" outlineLevel="0" collapsed="false">
      <c r="A18" s="32" t="n">
        <v>13</v>
      </c>
      <c r="B18" s="33" t="s">
        <v>151</v>
      </c>
      <c r="C18" s="33" t="s">
        <v>82</v>
      </c>
      <c r="D18" s="34" t="n">
        <v>99</v>
      </c>
      <c r="E18" s="35"/>
      <c r="F18" s="36" t="str">
        <f aca="false">IF(E18&lt;&gt;"",E18-D18,"")</f>
        <v/>
      </c>
      <c r="G18" s="37" t="str">
        <f aca="false">IF(AND(D18&lt;&gt;0,E18&lt;&gt;""),F18/D18,"")</f>
        <v/>
      </c>
      <c r="H18" s="38" t="s">
        <v>124</v>
      </c>
      <c r="I18" s="38"/>
      <c r="J18" s="38"/>
      <c r="K18" s="33" t="s">
        <v>130</v>
      </c>
      <c r="L18" s="38" t="s">
        <v>127</v>
      </c>
      <c r="M18" s="38" t="s">
        <v>128</v>
      </c>
      <c r="N18" s="39"/>
    </row>
    <row r="19" customFormat="false" ht="18" hidden="false" customHeight="true" outlineLevel="0" collapsed="false">
      <c r="A19" s="19" t="n">
        <v>14</v>
      </c>
      <c r="B19" s="40" t="s">
        <v>152</v>
      </c>
      <c r="C19" s="40" t="s">
        <v>82</v>
      </c>
      <c r="D19" s="41" t="n">
        <v>269</v>
      </c>
      <c r="E19" s="35"/>
      <c r="F19" s="42" t="str">
        <f aca="false">IF(E19&lt;&gt;"",E19-D19,"")</f>
        <v/>
      </c>
      <c r="G19" s="43" t="str">
        <f aca="false">IF(AND(D19&lt;&gt;0,E19&lt;&gt;""),F19/D19,"")</f>
        <v/>
      </c>
      <c r="H19" s="44" t="s">
        <v>124</v>
      </c>
      <c r="I19" s="44"/>
      <c r="J19" s="44"/>
      <c r="K19" s="40" t="s">
        <v>130</v>
      </c>
      <c r="L19" s="44" t="s">
        <v>127</v>
      </c>
      <c r="M19" s="44" t="s">
        <v>128</v>
      </c>
      <c r="N19" s="45"/>
    </row>
    <row r="20" customFormat="false" ht="18" hidden="false" customHeight="true" outlineLevel="0" collapsed="false">
      <c r="A20" s="32" t="n">
        <v>15</v>
      </c>
      <c r="B20" s="33" t="s">
        <v>153</v>
      </c>
      <c r="C20" s="33" t="s">
        <v>82</v>
      </c>
      <c r="D20" s="34" t="n">
        <v>21.99</v>
      </c>
      <c r="E20" s="35"/>
      <c r="F20" s="36" t="str">
        <f aca="false">IF(E20&lt;&gt;"",E20-D20,"")</f>
        <v/>
      </c>
      <c r="G20" s="37" t="str">
        <f aca="false">IF(AND(D20&lt;&gt;0,E20&lt;&gt;""),F20/D20,"")</f>
        <v/>
      </c>
      <c r="H20" s="38" t="s">
        <v>124</v>
      </c>
      <c r="I20" s="38" t="s">
        <v>154</v>
      </c>
      <c r="J20" s="38"/>
      <c r="K20" s="33" t="s">
        <v>130</v>
      </c>
      <c r="L20" s="38" t="s">
        <v>127</v>
      </c>
      <c r="M20" s="38" t="s">
        <v>128</v>
      </c>
      <c r="N20" s="39" t="s">
        <v>155</v>
      </c>
    </row>
    <row r="21" customFormat="false" ht="18" hidden="false" customHeight="true" outlineLevel="0" collapsed="false">
      <c r="A21" s="19" t="n">
        <v>16</v>
      </c>
      <c r="B21" s="40" t="s">
        <v>156</v>
      </c>
      <c r="C21" s="40" t="s">
        <v>82</v>
      </c>
      <c r="D21" s="41" t="n">
        <v>25</v>
      </c>
      <c r="E21" s="35"/>
      <c r="F21" s="42" t="str">
        <f aca="false">IF(E21&lt;&gt;"",E21-D21,"")</f>
        <v/>
      </c>
      <c r="G21" s="43" t="str">
        <f aca="false">IF(AND(D21&lt;&gt;0,E21&lt;&gt;""),F21/D21,"")</f>
        <v/>
      </c>
      <c r="H21" s="44" t="s">
        <v>124</v>
      </c>
      <c r="I21" s="44"/>
      <c r="J21" s="44"/>
      <c r="K21" s="40" t="s">
        <v>130</v>
      </c>
      <c r="L21" s="44" t="s">
        <v>127</v>
      </c>
      <c r="M21" s="44" t="s">
        <v>128</v>
      </c>
      <c r="N21" s="45"/>
    </row>
    <row r="22" customFormat="false" ht="18" hidden="false" customHeight="true" outlineLevel="0" collapsed="false">
      <c r="A22" s="32" t="n">
        <v>17</v>
      </c>
      <c r="B22" s="33" t="s">
        <v>157</v>
      </c>
      <c r="C22" s="33" t="s">
        <v>82</v>
      </c>
      <c r="D22" s="34" t="n">
        <v>19.95</v>
      </c>
      <c r="E22" s="35"/>
      <c r="F22" s="36" t="str">
        <f aca="false">IF(E22&lt;&gt;"",E22-D22,"")</f>
        <v/>
      </c>
      <c r="G22" s="37" t="str">
        <f aca="false">IF(AND(D22&lt;&gt;0,E22&lt;&gt;""),F22/D22,"")</f>
        <v/>
      </c>
      <c r="H22" s="38" t="s">
        <v>124</v>
      </c>
      <c r="I22" s="38"/>
      <c r="J22" s="38"/>
      <c r="K22" s="33" t="s">
        <v>130</v>
      </c>
      <c r="L22" s="38" t="s">
        <v>127</v>
      </c>
      <c r="M22" s="38" t="s">
        <v>128</v>
      </c>
      <c r="N22" s="39"/>
    </row>
    <row r="23" customFormat="false" ht="18" hidden="false" customHeight="true" outlineLevel="0" collapsed="false">
      <c r="A23" s="19" t="n">
        <v>18</v>
      </c>
      <c r="B23" s="40" t="s">
        <v>158</v>
      </c>
      <c r="C23" s="40" t="s">
        <v>82</v>
      </c>
      <c r="D23" s="41" t="n">
        <v>50</v>
      </c>
      <c r="E23" s="35"/>
      <c r="F23" s="42" t="str">
        <f aca="false">IF(E23&lt;&gt;"",E23-D23,"")</f>
        <v/>
      </c>
      <c r="G23" s="43" t="str">
        <f aca="false">IF(AND(D23&lt;&gt;0,E23&lt;&gt;""),F23/D23,"")</f>
        <v/>
      </c>
      <c r="H23" s="44" t="s">
        <v>124</v>
      </c>
      <c r="I23" s="44"/>
      <c r="J23" s="44"/>
      <c r="K23" s="40" t="s">
        <v>130</v>
      </c>
      <c r="L23" s="44" t="s">
        <v>127</v>
      </c>
      <c r="M23" s="44" t="s">
        <v>128</v>
      </c>
      <c r="N23" s="45"/>
    </row>
    <row r="24" customFormat="false" ht="18" hidden="false" customHeight="true" outlineLevel="0" collapsed="false">
      <c r="A24" s="32" t="n">
        <v>19</v>
      </c>
      <c r="B24" s="33" t="s">
        <v>159</v>
      </c>
      <c r="C24" s="33" t="s">
        <v>82</v>
      </c>
      <c r="D24" s="34" t="n">
        <v>36.23</v>
      </c>
      <c r="E24" s="35"/>
      <c r="F24" s="36" t="str">
        <f aca="false">IF(E24&lt;&gt;"",E24-D24,"")</f>
        <v/>
      </c>
      <c r="G24" s="37" t="str">
        <f aca="false">IF(AND(D24&lt;&gt;0,E24&lt;&gt;""),F24/D24,"")</f>
        <v/>
      </c>
      <c r="H24" s="38" t="s">
        <v>124</v>
      </c>
      <c r="I24" s="38"/>
      <c r="J24" s="38"/>
      <c r="K24" s="33" t="s">
        <v>130</v>
      </c>
      <c r="L24" s="38" t="s">
        <v>127</v>
      </c>
      <c r="M24" s="38" t="s">
        <v>128</v>
      </c>
      <c r="N24" s="39"/>
    </row>
    <row r="25" customFormat="false" ht="18" hidden="false" customHeight="true" outlineLevel="0" collapsed="false">
      <c r="A25" s="19" t="n">
        <v>20</v>
      </c>
      <c r="B25" s="40" t="s">
        <v>160</v>
      </c>
      <c r="C25" s="40" t="s">
        <v>82</v>
      </c>
      <c r="D25" s="41" t="n">
        <v>72</v>
      </c>
      <c r="E25" s="35"/>
      <c r="F25" s="42" t="str">
        <f aca="false">IF(E25&lt;&gt;"",E25-D25,"")</f>
        <v/>
      </c>
      <c r="G25" s="43" t="str">
        <f aca="false">IF(AND(D25&lt;&gt;0,E25&lt;&gt;""),F25/D25,"")</f>
        <v/>
      </c>
      <c r="H25" s="44" t="s">
        <v>124</v>
      </c>
      <c r="I25" s="44"/>
      <c r="J25" s="44"/>
      <c r="K25" s="40" t="s">
        <v>130</v>
      </c>
      <c r="L25" s="44" t="s">
        <v>127</v>
      </c>
      <c r="M25" s="44" t="s">
        <v>128</v>
      </c>
      <c r="N25" s="45" t="s">
        <v>161</v>
      </c>
    </row>
    <row r="26" customFormat="false" ht="18" hidden="false" customHeight="true" outlineLevel="0" collapsed="false">
      <c r="A26" s="32" t="n">
        <v>21</v>
      </c>
      <c r="B26" s="33" t="s">
        <v>162</v>
      </c>
      <c r="C26" s="33" t="s">
        <v>82</v>
      </c>
      <c r="D26" s="34" t="n">
        <v>20</v>
      </c>
      <c r="E26" s="35"/>
      <c r="F26" s="36" t="str">
        <f aca="false">IF(E26&lt;&gt;"",E26-D26,"")</f>
        <v/>
      </c>
      <c r="G26" s="37" t="str">
        <f aca="false">IF(AND(D26&lt;&gt;0,E26&lt;&gt;""),F26/D26,"")</f>
        <v/>
      </c>
      <c r="H26" s="38" t="s">
        <v>124</v>
      </c>
      <c r="I26" s="38"/>
      <c r="J26" s="38"/>
      <c r="K26" s="33" t="s">
        <v>130</v>
      </c>
      <c r="L26" s="38" t="s">
        <v>127</v>
      </c>
      <c r="M26" s="38" t="s">
        <v>128</v>
      </c>
      <c r="N26" s="39"/>
    </row>
    <row r="27" customFormat="false" ht="18" hidden="false" customHeight="true" outlineLevel="0" collapsed="false">
      <c r="A27" s="19" t="n">
        <v>22</v>
      </c>
      <c r="B27" s="40" t="s">
        <v>163</v>
      </c>
      <c r="C27" s="40" t="s">
        <v>82</v>
      </c>
      <c r="D27" s="41" t="n">
        <v>19.95</v>
      </c>
      <c r="E27" s="35"/>
      <c r="F27" s="42" t="str">
        <f aca="false">IF(E27&lt;&gt;"",E27-D27,"")</f>
        <v/>
      </c>
      <c r="G27" s="43" t="str">
        <f aca="false">IF(AND(D27&lt;&gt;0,E27&lt;&gt;""),F27/D27,"")</f>
        <v/>
      </c>
      <c r="H27" s="44" t="s">
        <v>124</v>
      </c>
      <c r="I27" s="44"/>
      <c r="J27" s="44"/>
      <c r="K27" s="40" t="s">
        <v>130</v>
      </c>
      <c r="L27" s="44" t="s">
        <v>127</v>
      </c>
      <c r="M27" s="44" t="s">
        <v>128</v>
      </c>
      <c r="N27" s="45"/>
    </row>
    <row r="28" customFormat="false" ht="18" hidden="false" customHeight="true" outlineLevel="0" collapsed="false">
      <c r="A28" s="32" t="n">
        <v>23</v>
      </c>
      <c r="B28" s="33" t="s">
        <v>164</v>
      </c>
      <c r="C28" s="33" t="s">
        <v>82</v>
      </c>
      <c r="D28" s="34" t="n">
        <v>9.99</v>
      </c>
      <c r="E28" s="35"/>
      <c r="F28" s="36" t="str">
        <f aca="false">IF(E28&lt;&gt;"",E28-D28,"")</f>
        <v/>
      </c>
      <c r="G28" s="37" t="str">
        <f aca="false">IF(AND(D28&lt;&gt;0,E28&lt;&gt;""),F28/D28,"")</f>
        <v/>
      </c>
      <c r="H28" s="38" t="s">
        <v>124</v>
      </c>
      <c r="I28" s="38"/>
      <c r="J28" s="38"/>
      <c r="K28" s="33"/>
      <c r="L28" s="38" t="s">
        <v>127</v>
      </c>
      <c r="M28" s="38" t="s">
        <v>128</v>
      </c>
      <c r="N28" s="39"/>
    </row>
    <row r="29" customFormat="false" ht="18" hidden="false" customHeight="true" outlineLevel="0" collapsed="false">
      <c r="A29" s="19" t="n">
        <v>24</v>
      </c>
      <c r="B29" s="40" t="s">
        <v>165</v>
      </c>
      <c r="C29" s="40" t="s">
        <v>82</v>
      </c>
      <c r="D29" s="41" t="n">
        <v>20</v>
      </c>
      <c r="E29" s="35"/>
      <c r="F29" s="42" t="str">
        <f aca="false">IF(E29&lt;&gt;"",E29-D29,"")</f>
        <v/>
      </c>
      <c r="G29" s="43" t="str">
        <f aca="false">IF(AND(D29&lt;&gt;0,E29&lt;&gt;""),F29/D29,"")</f>
        <v/>
      </c>
      <c r="H29" s="44" t="s">
        <v>124</v>
      </c>
      <c r="I29" s="44"/>
      <c r="J29" s="44"/>
      <c r="K29" s="40"/>
      <c r="L29" s="44" t="s">
        <v>127</v>
      </c>
      <c r="M29" s="44" t="s">
        <v>166</v>
      </c>
      <c r="N29" s="45" t="s">
        <v>167</v>
      </c>
    </row>
    <row r="30" customFormat="false" ht="18" hidden="false" customHeight="true" outlineLevel="0" collapsed="false">
      <c r="A30" s="32" t="n">
        <v>25</v>
      </c>
      <c r="B30" s="33" t="s">
        <v>168</v>
      </c>
      <c r="C30" s="33" t="s">
        <v>82</v>
      </c>
      <c r="D30" s="34" t="n">
        <v>9.99</v>
      </c>
      <c r="E30" s="35"/>
      <c r="F30" s="36" t="str">
        <f aca="false">IF(E30&lt;&gt;"",E30-D30,"")</f>
        <v/>
      </c>
      <c r="G30" s="37" t="str">
        <f aca="false">IF(AND(D30&lt;&gt;0,E30&lt;&gt;""),F30/D30,"")</f>
        <v/>
      </c>
      <c r="H30" s="38" t="s">
        <v>124</v>
      </c>
      <c r="I30" s="38"/>
      <c r="J30" s="38"/>
      <c r="K30" s="33"/>
      <c r="L30" s="38" t="s">
        <v>127</v>
      </c>
      <c r="M30" s="38" t="s">
        <v>166</v>
      </c>
      <c r="N30" s="39" t="s">
        <v>167</v>
      </c>
    </row>
    <row r="31" customFormat="false" ht="18" hidden="false" customHeight="true" outlineLevel="0" collapsed="false">
      <c r="A31" s="19" t="n">
        <v>26</v>
      </c>
      <c r="B31" s="40" t="s">
        <v>169</v>
      </c>
      <c r="C31" s="40" t="s">
        <v>82</v>
      </c>
      <c r="D31" s="41" t="n">
        <v>34</v>
      </c>
      <c r="E31" s="35"/>
      <c r="F31" s="42" t="str">
        <f aca="false">IF(E31&lt;&gt;"",E31-D31,"")</f>
        <v/>
      </c>
      <c r="G31" s="43" t="str">
        <f aca="false">IF(AND(D31&lt;&gt;0,E31&lt;&gt;""),F31/D31,"")</f>
        <v/>
      </c>
      <c r="H31" s="44" t="s">
        <v>124</v>
      </c>
      <c r="I31" s="44"/>
      <c r="J31" s="44"/>
      <c r="K31" s="40"/>
      <c r="L31" s="44" t="s">
        <v>131</v>
      </c>
      <c r="M31" s="44" t="s">
        <v>166</v>
      </c>
      <c r="N31" s="45" t="s">
        <v>170</v>
      </c>
    </row>
    <row r="32" customFormat="false" ht="18" hidden="false" customHeight="true" outlineLevel="0" collapsed="false">
      <c r="A32" s="32" t="n">
        <v>27</v>
      </c>
      <c r="B32" s="33" t="s">
        <v>171</v>
      </c>
      <c r="C32" s="33" t="s">
        <v>82</v>
      </c>
      <c r="D32" s="34" t="n">
        <v>24</v>
      </c>
      <c r="E32" s="35"/>
      <c r="F32" s="36" t="str">
        <f aca="false">IF(E32&lt;&gt;"",E32-D32,"")</f>
        <v/>
      </c>
      <c r="G32" s="37" t="str">
        <f aca="false">IF(AND(D32&lt;&gt;0,E32&lt;&gt;""),F32/D32,"")</f>
        <v/>
      </c>
      <c r="H32" s="38" t="s">
        <v>124</v>
      </c>
      <c r="I32" s="38" t="s">
        <v>142</v>
      </c>
      <c r="J32" s="38"/>
      <c r="K32" s="33" t="s">
        <v>172</v>
      </c>
      <c r="L32" s="38" t="s">
        <v>131</v>
      </c>
      <c r="M32" s="38" t="s">
        <v>128</v>
      </c>
      <c r="N32" s="39"/>
    </row>
    <row r="33" customFormat="false" ht="18" hidden="false" customHeight="true" outlineLevel="0" collapsed="false">
      <c r="A33" s="19" t="n">
        <v>28</v>
      </c>
      <c r="B33" s="40" t="s">
        <v>173</v>
      </c>
      <c r="C33" s="40" t="s">
        <v>82</v>
      </c>
      <c r="D33" s="41" t="n">
        <v>9</v>
      </c>
      <c r="E33" s="35"/>
      <c r="F33" s="42" t="str">
        <f aca="false">IF(E33&lt;&gt;"",E33-D33,"")</f>
        <v/>
      </c>
      <c r="G33" s="43" t="str">
        <f aca="false">IF(AND(D33&lt;&gt;0,E33&lt;&gt;""),F33/D33,"")</f>
        <v/>
      </c>
      <c r="H33" s="44" t="s">
        <v>124</v>
      </c>
      <c r="I33" s="44" t="s">
        <v>142</v>
      </c>
      <c r="J33" s="44"/>
      <c r="K33" s="40"/>
      <c r="L33" s="44" t="s">
        <v>127</v>
      </c>
      <c r="M33" s="44" t="s">
        <v>128</v>
      </c>
      <c r="N33" s="45"/>
    </row>
    <row r="34" customFormat="false" ht="18" hidden="false" customHeight="true" outlineLevel="0" collapsed="false">
      <c r="A34" s="32" t="n">
        <v>29</v>
      </c>
      <c r="B34" s="33" t="s">
        <v>174</v>
      </c>
      <c r="C34" s="33" t="s">
        <v>82</v>
      </c>
      <c r="D34" s="34" t="n">
        <v>20</v>
      </c>
      <c r="E34" s="35"/>
      <c r="F34" s="36" t="str">
        <f aca="false">IF(E34&lt;&gt;"",E34-D34,"")</f>
        <v/>
      </c>
      <c r="G34" s="37" t="str">
        <f aca="false">IF(AND(D34&lt;&gt;0,E34&lt;&gt;""),F34/D34,"")</f>
        <v/>
      </c>
      <c r="H34" s="38" t="s">
        <v>124</v>
      </c>
      <c r="I34" s="38"/>
      <c r="J34" s="38"/>
      <c r="K34" s="33" t="s">
        <v>130</v>
      </c>
      <c r="L34" s="38" t="s">
        <v>127</v>
      </c>
      <c r="M34" s="38" t="s">
        <v>128</v>
      </c>
      <c r="N34" s="39"/>
    </row>
    <row r="35" customFormat="false" ht="19.5" hidden="false" customHeight="true" outlineLevel="0" collapsed="false">
      <c r="A35" s="31" t="s">
        <v>175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customFormat="false" ht="18" hidden="false" customHeight="true" outlineLevel="0" collapsed="false">
      <c r="A36" s="32" t="n">
        <v>30</v>
      </c>
      <c r="B36" s="33" t="s">
        <v>176</v>
      </c>
      <c r="C36" s="33" t="s">
        <v>84</v>
      </c>
      <c r="D36" s="34" t="n">
        <v>177</v>
      </c>
      <c r="E36" s="35"/>
      <c r="F36" s="36" t="str">
        <f aca="false">IF(E36&lt;&gt;"",E36-D36,"")</f>
        <v/>
      </c>
      <c r="G36" s="37" t="str">
        <f aca="false">IF(AND(D36&lt;&gt;0,E36&lt;&gt;""),F36/D36,"")</f>
        <v/>
      </c>
      <c r="H36" s="38" t="s">
        <v>124</v>
      </c>
      <c r="I36" s="38" t="s">
        <v>177</v>
      </c>
      <c r="J36" s="38"/>
      <c r="K36" s="33" t="s">
        <v>178</v>
      </c>
      <c r="L36" s="38" t="s">
        <v>131</v>
      </c>
      <c r="M36" s="38" t="s">
        <v>128</v>
      </c>
      <c r="N36" s="39"/>
    </row>
    <row r="37" customFormat="false" ht="18" hidden="false" customHeight="true" outlineLevel="0" collapsed="false">
      <c r="A37" s="19" t="n">
        <v>31</v>
      </c>
      <c r="B37" s="40" t="s">
        <v>139</v>
      </c>
      <c r="C37" s="40" t="s">
        <v>84</v>
      </c>
      <c r="D37" s="41" t="n">
        <v>142.84</v>
      </c>
      <c r="E37" s="35"/>
      <c r="F37" s="42" t="str">
        <f aca="false">IF(E37&lt;&gt;"",E37-D37,"")</f>
        <v/>
      </c>
      <c r="G37" s="43" t="str">
        <f aca="false">IF(AND(D37&lt;&gt;0,E37&lt;&gt;""),F37/D37,"")</f>
        <v/>
      </c>
      <c r="H37" s="44" t="s">
        <v>124</v>
      </c>
      <c r="I37" s="44" t="s">
        <v>140</v>
      </c>
      <c r="J37" s="44"/>
      <c r="K37" s="40" t="s">
        <v>130</v>
      </c>
      <c r="L37" s="44" t="s">
        <v>127</v>
      </c>
      <c r="M37" s="44" t="s">
        <v>128</v>
      </c>
      <c r="N37" s="45" t="s">
        <v>179</v>
      </c>
    </row>
    <row r="38" customFormat="false" ht="19.5" hidden="false" customHeight="true" outlineLevel="0" collapsed="false">
      <c r="A38" s="31" t="s">
        <v>180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customFormat="false" ht="18" hidden="false" customHeight="true" outlineLevel="0" collapsed="false">
      <c r="A39" s="32" t="n">
        <v>32</v>
      </c>
      <c r="B39" s="33" t="s">
        <v>181</v>
      </c>
      <c r="C39" s="33" t="s">
        <v>86</v>
      </c>
      <c r="D39" s="34" t="n">
        <v>2400</v>
      </c>
      <c r="E39" s="35"/>
      <c r="F39" s="36" t="str">
        <f aca="false">IF(E39&lt;&gt;"",E39-D39,"")</f>
        <v/>
      </c>
      <c r="G39" s="37" t="str">
        <f aca="false">IF(AND(D39&lt;&gt;0,E39&lt;&gt;""),F39/D39,"")</f>
        <v/>
      </c>
      <c r="H39" s="38" t="s">
        <v>124</v>
      </c>
      <c r="I39" s="38"/>
      <c r="J39" s="38"/>
      <c r="K39" s="33"/>
      <c r="L39" s="38" t="s">
        <v>127</v>
      </c>
      <c r="M39" s="38" t="s">
        <v>128</v>
      </c>
      <c r="N39" s="39" t="s">
        <v>182</v>
      </c>
    </row>
    <row r="40" customFormat="false" ht="18" hidden="false" customHeight="true" outlineLevel="0" collapsed="false">
      <c r="A40" s="19" t="n">
        <v>33</v>
      </c>
      <c r="B40" s="40" t="s">
        <v>183</v>
      </c>
      <c r="C40" s="40" t="s">
        <v>86</v>
      </c>
      <c r="D40" s="41" t="n">
        <v>1000</v>
      </c>
      <c r="E40" s="35"/>
      <c r="F40" s="42" t="str">
        <f aca="false">IF(E40&lt;&gt;"",E40-D40,"")</f>
        <v/>
      </c>
      <c r="G40" s="43" t="str">
        <f aca="false">IF(AND(D40&lt;&gt;0,E40&lt;&gt;""),F40/D40,"")</f>
        <v/>
      </c>
      <c r="H40" s="44" t="s">
        <v>124</v>
      </c>
      <c r="I40" s="44"/>
      <c r="J40" s="44"/>
      <c r="K40" s="40"/>
      <c r="L40" s="44" t="s">
        <v>127</v>
      </c>
      <c r="M40" s="44" t="s">
        <v>128</v>
      </c>
      <c r="N40" s="45"/>
    </row>
    <row r="41" customFormat="false" ht="18" hidden="false" customHeight="true" outlineLevel="0" collapsed="false">
      <c r="A41" s="32" t="n">
        <v>34</v>
      </c>
      <c r="B41" s="33" t="s">
        <v>184</v>
      </c>
      <c r="C41" s="33" t="s">
        <v>86</v>
      </c>
      <c r="D41" s="34" t="n">
        <v>500</v>
      </c>
      <c r="E41" s="35"/>
      <c r="F41" s="36" t="str">
        <f aca="false">IF(E41&lt;&gt;"",E41-D41,"")</f>
        <v/>
      </c>
      <c r="G41" s="37" t="str">
        <f aca="false">IF(AND(D41&lt;&gt;0,E41&lt;&gt;""),F41/D41,"")</f>
        <v/>
      </c>
      <c r="H41" s="38" t="s">
        <v>124</v>
      </c>
      <c r="I41" s="38"/>
      <c r="J41" s="38"/>
      <c r="K41" s="33"/>
      <c r="L41" s="38" t="s">
        <v>127</v>
      </c>
      <c r="M41" s="38" t="s">
        <v>128</v>
      </c>
      <c r="N41" s="39"/>
    </row>
    <row r="42" customFormat="false" ht="18" hidden="false" customHeight="true" outlineLevel="0" collapsed="false">
      <c r="A42" s="19" t="n">
        <v>35</v>
      </c>
      <c r="B42" s="40" t="s">
        <v>185</v>
      </c>
      <c r="C42" s="40" t="s">
        <v>86</v>
      </c>
      <c r="D42" s="41" t="n">
        <v>500</v>
      </c>
      <c r="E42" s="35"/>
      <c r="F42" s="42" t="str">
        <f aca="false">IF(E42&lt;&gt;"",E42-D42,"")</f>
        <v/>
      </c>
      <c r="G42" s="43" t="str">
        <f aca="false">IF(AND(D42&lt;&gt;0,E42&lt;&gt;""),F42/D42,"")</f>
        <v/>
      </c>
      <c r="H42" s="44" t="s">
        <v>124</v>
      </c>
      <c r="I42" s="44"/>
      <c r="J42" s="44"/>
      <c r="K42" s="40"/>
      <c r="L42" s="44" t="s">
        <v>127</v>
      </c>
      <c r="M42" s="44" t="s">
        <v>128</v>
      </c>
      <c r="N42" s="45" t="s">
        <v>186</v>
      </c>
    </row>
    <row r="43" customFormat="false" ht="19.5" hidden="false" customHeight="true" outlineLevel="0" collapsed="false">
      <c r="A43" s="31" t="s">
        <v>187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18" hidden="false" customHeight="true" outlineLevel="0" collapsed="false">
      <c r="A44" s="32" t="n">
        <v>36</v>
      </c>
      <c r="B44" s="33" t="s">
        <v>188</v>
      </c>
      <c r="C44" s="33" t="s">
        <v>88</v>
      </c>
      <c r="D44" s="34" t="n">
        <v>2500</v>
      </c>
      <c r="E44" s="35"/>
      <c r="F44" s="36" t="str">
        <f aca="false">IF(E44&lt;&gt;"",E44-D44,"")</f>
        <v/>
      </c>
      <c r="G44" s="37" t="str">
        <f aca="false">IF(AND(D44&lt;&gt;0,E44&lt;&gt;""),F44/D44,"")</f>
        <v/>
      </c>
      <c r="H44" s="38" t="s">
        <v>124</v>
      </c>
      <c r="I44" s="38"/>
      <c r="J44" s="38"/>
      <c r="K44" s="33"/>
      <c r="L44" s="38" t="s">
        <v>127</v>
      </c>
      <c r="M44" s="38" t="s">
        <v>128</v>
      </c>
      <c r="N44" s="39" t="s">
        <v>189</v>
      </c>
    </row>
    <row r="45" customFormat="false" ht="18" hidden="false" customHeight="true" outlineLevel="0" collapsed="false">
      <c r="A45" s="19" t="n">
        <v>37</v>
      </c>
      <c r="B45" s="40" t="s">
        <v>190</v>
      </c>
      <c r="C45" s="40" t="s">
        <v>88</v>
      </c>
      <c r="D45" s="41" t="n">
        <v>0</v>
      </c>
      <c r="E45" s="35"/>
      <c r="F45" s="42" t="str">
        <f aca="false">IF(E45&lt;&gt;"",E45-D45,"")</f>
        <v/>
      </c>
      <c r="G45" s="43" t="str">
        <f aca="false">IF(AND(D45&lt;&gt;0,E45&lt;&gt;""),F45/D45,"")</f>
        <v/>
      </c>
      <c r="H45" s="44" t="s">
        <v>191</v>
      </c>
      <c r="I45" s="44"/>
      <c r="J45" s="44"/>
      <c r="K45" s="40"/>
      <c r="L45" s="44" t="s">
        <v>127</v>
      </c>
      <c r="M45" s="44" t="s">
        <v>192</v>
      </c>
      <c r="N45" s="45" t="s">
        <v>193</v>
      </c>
    </row>
    <row r="46" customFormat="false" ht="18" hidden="false" customHeight="true" outlineLevel="0" collapsed="false">
      <c r="A46" s="32" t="n">
        <v>38</v>
      </c>
      <c r="B46" s="33" t="s">
        <v>101</v>
      </c>
      <c r="C46" s="33" t="s">
        <v>88</v>
      </c>
      <c r="D46" s="34" t="n">
        <v>220</v>
      </c>
      <c r="E46" s="35"/>
      <c r="F46" s="36" t="str">
        <f aca="false">IF(E46&lt;&gt;"",E46-D46,"")</f>
        <v/>
      </c>
      <c r="G46" s="37" t="str">
        <f aca="false">IF(AND(D46&lt;&gt;0,E46&lt;&gt;""),F46/D46,"")</f>
        <v/>
      </c>
      <c r="H46" s="38" t="s">
        <v>124</v>
      </c>
      <c r="I46" s="38"/>
      <c r="J46" s="38"/>
      <c r="K46" s="33"/>
      <c r="L46" s="38" t="s">
        <v>127</v>
      </c>
      <c r="M46" s="38" t="s">
        <v>128</v>
      </c>
      <c r="N46" s="39" t="s">
        <v>161</v>
      </c>
    </row>
    <row r="47" customFormat="false" ht="19.5" hidden="false" customHeight="true" outlineLevel="0" collapsed="false">
      <c r="A47" s="31" t="s">
        <v>194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customFormat="false" ht="18" hidden="false" customHeight="true" outlineLevel="0" collapsed="false">
      <c r="A48" s="32" t="n">
        <v>39</v>
      </c>
      <c r="B48" s="33" t="s">
        <v>195</v>
      </c>
      <c r="C48" s="33" t="s">
        <v>90</v>
      </c>
      <c r="D48" s="34" t="n">
        <v>200</v>
      </c>
      <c r="E48" s="35"/>
      <c r="F48" s="36" t="str">
        <f aca="false">IF(E48&lt;&gt;"",E48-D48,"")</f>
        <v/>
      </c>
      <c r="G48" s="37" t="str">
        <f aca="false">IF(AND(D48&lt;&gt;0,E48&lt;&gt;""),F48/D48,"")</f>
        <v/>
      </c>
      <c r="H48" s="38" t="s">
        <v>124</v>
      </c>
      <c r="I48" s="38" t="s">
        <v>125</v>
      </c>
      <c r="J48" s="38"/>
      <c r="K48" s="33" t="s">
        <v>172</v>
      </c>
      <c r="L48" s="38" t="s">
        <v>127</v>
      </c>
      <c r="M48" s="38" t="s">
        <v>128</v>
      </c>
      <c r="N48" s="39"/>
    </row>
    <row r="49" customFormat="false" ht="18" hidden="false" customHeight="true" outlineLevel="0" collapsed="false">
      <c r="A49" s="19" t="n">
        <v>40</v>
      </c>
      <c r="B49" s="40" t="s">
        <v>196</v>
      </c>
      <c r="C49" s="40" t="s">
        <v>90</v>
      </c>
      <c r="D49" s="41" t="n">
        <v>43</v>
      </c>
      <c r="E49" s="35"/>
      <c r="F49" s="42" t="str">
        <f aca="false">IF(E49&lt;&gt;"",E49-D49,"")</f>
        <v/>
      </c>
      <c r="G49" s="43" t="str">
        <f aca="false">IF(AND(D49&lt;&gt;0,E49&lt;&gt;""),F49/D49,"")</f>
        <v/>
      </c>
      <c r="H49" s="44" t="s">
        <v>124</v>
      </c>
      <c r="I49" s="44" t="s">
        <v>146</v>
      </c>
      <c r="J49" s="44"/>
      <c r="K49" s="40" t="s">
        <v>172</v>
      </c>
      <c r="L49" s="44" t="s">
        <v>131</v>
      </c>
      <c r="M49" s="44" t="s">
        <v>128</v>
      </c>
      <c r="N49" s="45"/>
    </row>
    <row r="50" customFormat="false" ht="18" hidden="false" customHeight="true" outlineLevel="0" collapsed="false">
      <c r="A50" s="32" t="n">
        <v>41</v>
      </c>
      <c r="B50" s="33" t="s">
        <v>197</v>
      </c>
      <c r="C50" s="33" t="s">
        <v>90</v>
      </c>
      <c r="D50" s="34" t="n">
        <v>24</v>
      </c>
      <c r="E50" s="35"/>
      <c r="F50" s="36" t="str">
        <f aca="false">IF(E50&lt;&gt;"",E50-D50,"")</f>
        <v/>
      </c>
      <c r="G50" s="37" t="str">
        <f aca="false">IF(AND(D50&lt;&gt;0,E50&lt;&gt;""),F50/D50,"")</f>
        <v/>
      </c>
      <c r="H50" s="38" t="s">
        <v>124</v>
      </c>
      <c r="I50" s="38" t="s">
        <v>148</v>
      </c>
      <c r="J50" s="38"/>
      <c r="K50" s="33" t="s">
        <v>172</v>
      </c>
      <c r="L50" s="38" t="s">
        <v>131</v>
      </c>
      <c r="M50" s="38" t="s">
        <v>128</v>
      </c>
      <c r="N50" s="39"/>
    </row>
    <row r="51" customFormat="false" ht="18" hidden="false" customHeight="true" outlineLevel="0" collapsed="false">
      <c r="A51" s="19" t="n">
        <v>42</v>
      </c>
      <c r="B51" s="40" t="s">
        <v>198</v>
      </c>
      <c r="C51" s="40" t="s">
        <v>90</v>
      </c>
      <c r="D51" s="41" t="n">
        <v>65</v>
      </c>
      <c r="E51" s="35"/>
      <c r="F51" s="42" t="str">
        <f aca="false">IF(E51&lt;&gt;"",E51-D51,"")</f>
        <v/>
      </c>
      <c r="G51" s="43" t="str">
        <f aca="false">IF(AND(D51&lt;&gt;0,E51&lt;&gt;""),F51/D51,"")</f>
        <v/>
      </c>
      <c r="H51" s="44" t="s">
        <v>124</v>
      </c>
      <c r="I51" s="44" t="s">
        <v>138</v>
      </c>
      <c r="J51" s="44"/>
      <c r="K51" s="40"/>
      <c r="L51" s="44" t="s">
        <v>127</v>
      </c>
      <c r="M51" s="44" t="s">
        <v>128</v>
      </c>
      <c r="N51" s="45"/>
    </row>
    <row r="52" customFormat="false" ht="19.5" hidden="false" customHeight="true" outlineLevel="0" collapsed="false">
      <c r="A52" s="31" t="s">
        <v>199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customFormat="false" ht="18" hidden="false" customHeight="true" outlineLevel="0" collapsed="false">
      <c r="A53" s="32" t="n">
        <v>43</v>
      </c>
      <c r="B53" s="33" t="s">
        <v>200</v>
      </c>
      <c r="C53" s="33" t="s">
        <v>95</v>
      </c>
      <c r="D53" s="34" t="n">
        <v>25</v>
      </c>
      <c r="E53" s="35"/>
      <c r="F53" s="36" t="str">
        <f aca="false">IF(E53&lt;&gt;"",E53-D53,"")</f>
        <v/>
      </c>
      <c r="G53" s="37" t="str">
        <f aca="false">IF(AND(D53&lt;&gt;0,E53&lt;&gt;""),F53/D53,"")</f>
        <v/>
      </c>
      <c r="H53" s="38" t="s">
        <v>124</v>
      </c>
      <c r="I53" s="38"/>
      <c r="J53" s="38"/>
      <c r="K53" s="33"/>
      <c r="L53" s="38" t="s">
        <v>127</v>
      </c>
      <c r="M53" s="38" t="s">
        <v>128</v>
      </c>
      <c r="N53" s="39" t="s">
        <v>201</v>
      </c>
    </row>
    <row r="54" customFormat="false" ht="18" hidden="false" customHeight="true" outlineLevel="0" collapsed="false">
      <c r="A54" s="19" t="n">
        <v>44</v>
      </c>
      <c r="B54" s="40" t="s">
        <v>202</v>
      </c>
      <c r="C54" s="40" t="s">
        <v>95</v>
      </c>
      <c r="D54" s="41" t="n">
        <v>300</v>
      </c>
      <c r="E54" s="35"/>
      <c r="F54" s="42" t="str">
        <f aca="false">IF(E54&lt;&gt;"",E54-D54,"")</f>
        <v/>
      </c>
      <c r="G54" s="43" t="str">
        <f aca="false">IF(AND(D54&lt;&gt;0,E54&lt;&gt;""),F54/D54,"")</f>
        <v/>
      </c>
      <c r="H54" s="44" t="s">
        <v>124</v>
      </c>
      <c r="I54" s="44"/>
      <c r="J54" s="44"/>
      <c r="K54" s="40"/>
      <c r="L54" s="44" t="s">
        <v>127</v>
      </c>
      <c r="M54" s="44" t="s">
        <v>128</v>
      </c>
      <c r="N54" s="45"/>
    </row>
    <row r="55" customFormat="false" ht="19.5" hidden="false" customHeight="true" outlineLevel="0" collapsed="false">
      <c r="A55" s="31" t="s">
        <v>203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customFormat="false" ht="18" hidden="false" customHeight="true" outlineLevel="0" collapsed="false">
      <c r="A56" s="32" t="n">
        <v>45</v>
      </c>
      <c r="B56" s="33" t="s">
        <v>204</v>
      </c>
      <c r="C56" s="33" t="s">
        <v>205</v>
      </c>
      <c r="D56" s="34" t="n">
        <v>1400</v>
      </c>
      <c r="E56" s="35"/>
      <c r="F56" s="36" t="str">
        <f aca="false">IF(E56&lt;&gt;"",E56-D56,"")</f>
        <v/>
      </c>
      <c r="G56" s="37" t="str">
        <f aca="false">IF(AND(D56&lt;&gt;0,E56&lt;&gt;""),F56/D56,"")</f>
        <v/>
      </c>
      <c r="H56" s="38" t="s">
        <v>206</v>
      </c>
      <c r="I56" s="38" t="s">
        <v>148</v>
      </c>
      <c r="J56" s="38"/>
      <c r="K56" s="33" t="s">
        <v>172</v>
      </c>
      <c r="L56" s="38" t="s">
        <v>131</v>
      </c>
      <c r="M56" s="38" t="s">
        <v>128</v>
      </c>
      <c r="N56" s="39" t="s">
        <v>207</v>
      </c>
    </row>
    <row r="57" customFormat="false" ht="18" hidden="false" customHeight="true" outlineLevel="0" collapsed="false">
      <c r="A57" s="19" t="n">
        <v>46</v>
      </c>
      <c r="B57" s="40" t="s">
        <v>208</v>
      </c>
      <c r="C57" s="40" t="s">
        <v>205</v>
      </c>
      <c r="D57" s="41" t="n">
        <v>1397</v>
      </c>
      <c r="E57" s="35"/>
      <c r="F57" s="42" t="str">
        <f aca="false">IF(E57&lt;&gt;"",E57-D57,"")</f>
        <v/>
      </c>
      <c r="G57" s="43" t="str">
        <f aca="false">IF(AND(D57&lt;&gt;0,E57&lt;&gt;""),F57/D57,"")</f>
        <v/>
      </c>
      <c r="H57" s="44" t="s">
        <v>191</v>
      </c>
      <c r="I57" s="44"/>
      <c r="J57" s="44"/>
      <c r="K57" s="40"/>
      <c r="L57" s="44" t="s">
        <v>127</v>
      </c>
      <c r="M57" s="44" t="s">
        <v>192</v>
      </c>
      <c r="N57" s="45" t="s">
        <v>209</v>
      </c>
    </row>
    <row r="58" customFormat="false" ht="18" hidden="false" customHeight="true" outlineLevel="0" collapsed="false">
      <c r="A58" s="32" t="n">
        <v>47</v>
      </c>
      <c r="B58" s="33" t="s">
        <v>210</v>
      </c>
      <c r="C58" s="33" t="s">
        <v>205</v>
      </c>
      <c r="D58" s="34" t="n">
        <v>500</v>
      </c>
      <c r="E58" s="35"/>
      <c r="F58" s="36" t="str">
        <f aca="false">IF(E58&lt;&gt;"",E58-D58,"")</f>
        <v/>
      </c>
      <c r="G58" s="37" t="str">
        <f aca="false">IF(AND(D58&lt;&gt;0,E58&lt;&gt;""),F58/D58,"")</f>
        <v/>
      </c>
      <c r="H58" s="38" t="s">
        <v>124</v>
      </c>
      <c r="I58" s="38" t="s">
        <v>142</v>
      </c>
      <c r="J58" s="38"/>
      <c r="K58" s="33" t="s">
        <v>172</v>
      </c>
      <c r="L58" s="38" t="s">
        <v>127</v>
      </c>
      <c r="M58" s="38" t="s">
        <v>128</v>
      </c>
      <c r="N58" s="39"/>
    </row>
    <row r="59" customFormat="false" ht="19.5" hidden="false" customHeight="true" outlineLevel="0" collapsed="false">
      <c r="A59" s="31" t="s">
        <v>211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customFormat="false" ht="18" hidden="false" customHeight="true" outlineLevel="0" collapsed="false">
      <c r="A60" s="32" t="n">
        <v>48</v>
      </c>
      <c r="B60" s="33" t="s">
        <v>212</v>
      </c>
      <c r="C60" s="33" t="s">
        <v>93</v>
      </c>
      <c r="D60" s="34" t="n">
        <v>450</v>
      </c>
      <c r="E60" s="35"/>
      <c r="F60" s="36" t="str">
        <f aca="false">IF(E60&lt;&gt;"",E60-D60,"")</f>
        <v/>
      </c>
      <c r="G60" s="37" t="str">
        <f aca="false">IF(AND(D60&lt;&gt;0,E60&lt;&gt;""),F60/D60,"")</f>
        <v/>
      </c>
      <c r="H60" s="38" t="s">
        <v>124</v>
      </c>
      <c r="I60" s="38"/>
      <c r="J60" s="38"/>
      <c r="K60" s="33"/>
      <c r="L60" s="38" t="s">
        <v>127</v>
      </c>
      <c r="M60" s="38" t="s">
        <v>128</v>
      </c>
      <c r="N60" s="39"/>
    </row>
    <row r="61" customFormat="false" ht="18" hidden="false" customHeight="true" outlineLevel="0" collapsed="false">
      <c r="A61" s="19" t="n">
        <v>49</v>
      </c>
      <c r="B61" s="40" t="s">
        <v>213</v>
      </c>
      <c r="C61" s="40" t="s">
        <v>93</v>
      </c>
      <c r="D61" s="41" t="n">
        <v>300</v>
      </c>
      <c r="E61" s="35"/>
      <c r="F61" s="42" t="str">
        <f aca="false">IF(E61&lt;&gt;"",E61-D61,"")</f>
        <v/>
      </c>
      <c r="G61" s="43" t="str">
        <f aca="false">IF(AND(D61&lt;&gt;0,E61&lt;&gt;""),F61/D61,"")</f>
        <v/>
      </c>
      <c r="H61" s="44" t="s">
        <v>124</v>
      </c>
      <c r="I61" s="44"/>
      <c r="J61" s="44"/>
      <c r="K61" s="40"/>
      <c r="L61" s="44" t="s">
        <v>127</v>
      </c>
      <c r="M61" s="44" t="s">
        <v>128</v>
      </c>
      <c r="N61" s="45"/>
    </row>
    <row r="62" customFormat="false" ht="18" hidden="false" customHeight="true" outlineLevel="0" collapsed="false">
      <c r="A62" s="32" t="n">
        <v>50</v>
      </c>
      <c r="B62" s="33" t="s">
        <v>214</v>
      </c>
      <c r="C62" s="33" t="s">
        <v>93</v>
      </c>
      <c r="D62" s="34" t="n">
        <v>150</v>
      </c>
      <c r="E62" s="35"/>
      <c r="F62" s="36" t="str">
        <f aca="false">IF(E62&lt;&gt;"",E62-D62,"")</f>
        <v/>
      </c>
      <c r="G62" s="37" t="str">
        <f aca="false">IF(AND(D62&lt;&gt;0,E62&lt;&gt;""),F62/D62,"")</f>
        <v/>
      </c>
      <c r="H62" s="38" t="s">
        <v>124</v>
      </c>
      <c r="I62" s="38"/>
      <c r="J62" s="38"/>
      <c r="K62" s="33"/>
      <c r="L62" s="38" t="s">
        <v>127</v>
      </c>
      <c r="M62" s="38" t="s">
        <v>128</v>
      </c>
      <c r="N62" s="39" t="s">
        <v>182</v>
      </c>
    </row>
    <row r="63" customFormat="false" ht="19.5" hidden="false" customHeight="true" outlineLevel="0" collapsed="false">
      <c r="A63" s="31" t="s">
        <v>215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8" hidden="false" customHeight="true" outlineLevel="0" collapsed="false">
      <c r="A64" s="32" t="n">
        <v>51</v>
      </c>
      <c r="B64" s="33" t="s">
        <v>216</v>
      </c>
      <c r="C64" s="33" t="s">
        <v>217</v>
      </c>
      <c r="D64" s="34" t="n">
        <v>336</v>
      </c>
      <c r="E64" s="35"/>
      <c r="F64" s="36" t="str">
        <f aca="false">IF(E64&lt;&gt;"",E64-D64,"")</f>
        <v/>
      </c>
      <c r="G64" s="37" t="str">
        <f aca="false">IF(AND(D64&lt;&gt;0,E64&lt;&gt;""),F64/D64,"")</f>
        <v/>
      </c>
      <c r="H64" s="38" t="s">
        <v>206</v>
      </c>
      <c r="I64" s="38" t="s">
        <v>148</v>
      </c>
      <c r="J64" s="38"/>
      <c r="K64" s="33"/>
      <c r="L64" s="38" t="s">
        <v>127</v>
      </c>
      <c r="M64" s="38" t="s">
        <v>128</v>
      </c>
      <c r="N64" s="39" t="s">
        <v>218</v>
      </c>
    </row>
    <row r="66" customFormat="false" ht="24" hidden="false" customHeight="true" outlineLevel="0" collapsed="false">
      <c r="A66" s="46" t="s">
        <v>219</v>
      </c>
      <c r="B66" s="46"/>
      <c r="C66" s="46"/>
      <c r="D66" s="47" t="n">
        <f aca="false">SUMIF(D5:D64,"&gt;0")</f>
        <v>14760.95</v>
      </c>
      <c r="E66" s="47" t="n">
        <f aca="false">SUMIF(E5:E64,"&gt;0")</f>
        <v>0</v>
      </c>
      <c r="F66" s="47" t="n">
        <f aca="false">IF(E66&lt;&gt;"",E66-D66,"")</f>
        <v>-14760.95</v>
      </c>
      <c r="G66" s="48"/>
      <c r="H66" s="48"/>
      <c r="I66" s="48"/>
      <c r="J66" s="48"/>
      <c r="K66" s="48"/>
      <c r="L66" s="48"/>
      <c r="M66" s="48"/>
      <c r="N66" s="48"/>
    </row>
  </sheetData>
  <mergeCells count="13">
    <mergeCell ref="A1:N1"/>
    <mergeCell ref="A2:N2"/>
    <mergeCell ref="A3:C3"/>
    <mergeCell ref="A5:N5"/>
    <mergeCell ref="A35:N35"/>
    <mergeCell ref="A38:N38"/>
    <mergeCell ref="A43:N43"/>
    <mergeCell ref="A47:N47"/>
    <mergeCell ref="A52:N52"/>
    <mergeCell ref="A55:N55"/>
    <mergeCell ref="A59:N59"/>
    <mergeCell ref="A63:N63"/>
    <mergeCell ref="A66:C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20"/>
    <col collapsed="false" customWidth="true" hidden="false" outlineLevel="0" max="13" min="12" style="1" width="10"/>
    <col collapsed="false" customWidth="true" hidden="false" outlineLevel="0" max="14" min="14" style="1" width="22"/>
  </cols>
  <sheetData>
    <row r="1" customFormat="false" ht="31.5" hidden="false" customHeight="true" outlineLevel="0" collapsed="false">
      <c r="A1" s="28" t="s">
        <v>220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5.75" hidden="false" customHeight="true" outlineLevel="0" collapsed="false">
      <c r="A2" s="29" t="s">
        <v>106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21.75" hidden="false" customHeight="true" outlineLevel="0" collapsed="false">
      <c r="A3" s="3" t="s">
        <v>107</v>
      </c>
      <c r="B3" s="3"/>
      <c r="C3" s="3"/>
      <c r="D3" s="30" t="n">
        <f aca="false">D40</f>
        <v>14770.25</v>
      </c>
      <c r="E3" s="30" t="n">
        <f aca="false">E40</f>
        <v>0</v>
      </c>
      <c r="F3" s="30" t="n">
        <f aca="false">F40</f>
        <v>-14770.25</v>
      </c>
    </row>
    <row r="4" customFormat="false" ht="30" hidden="false" customHeight="true" outlineLevel="0" collapsed="false">
      <c r="A4" s="17" t="s">
        <v>108</v>
      </c>
      <c r="B4" s="17" t="s">
        <v>109</v>
      </c>
      <c r="C4" s="17" t="s">
        <v>110</v>
      </c>
      <c r="D4" s="17" t="s">
        <v>111</v>
      </c>
      <c r="E4" s="17" t="s">
        <v>112</v>
      </c>
      <c r="F4" s="17" t="s">
        <v>113</v>
      </c>
      <c r="G4" s="17" t="s">
        <v>114</v>
      </c>
      <c r="H4" s="17" t="s">
        <v>115</v>
      </c>
      <c r="I4" s="17" t="s">
        <v>116</v>
      </c>
      <c r="J4" s="17" t="s">
        <v>117</v>
      </c>
      <c r="K4" s="17" t="s">
        <v>118</v>
      </c>
      <c r="L4" s="17" t="s">
        <v>119</v>
      </c>
      <c r="M4" s="17" t="s">
        <v>120</v>
      </c>
      <c r="N4" s="17" t="s">
        <v>121</v>
      </c>
    </row>
    <row r="5" customFormat="false" ht="19.5" hidden="false" customHeight="true" outlineLevel="0" collapsed="false">
      <c r="A5" s="31" t="s">
        <v>221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8" hidden="false" customHeight="true" outlineLevel="0" collapsed="false">
      <c r="A6" s="49" t="n">
        <v>1</v>
      </c>
      <c r="B6" s="50" t="s">
        <v>222</v>
      </c>
      <c r="C6" s="50" t="s">
        <v>83</v>
      </c>
      <c r="D6" s="51" t="n">
        <v>8700</v>
      </c>
      <c r="E6" s="35"/>
      <c r="F6" s="52" t="str">
        <f aca="false">IF(E6&lt;&gt;"",E6-D6,"")</f>
        <v/>
      </c>
      <c r="G6" s="53" t="str">
        <f aca="false">IF(AND(D6&lt;&gt;0,E6&lt;&gt;""),F6/D6,"")</f>
        <v/>
      </c>
      <c r="H6" s="54" t="s">
        <v>124</v>
      </c>
      <c r="I6" s="54" t="s">
        <v>125</v>
      </c>
      <c r="J6" s="54" t="s">
        <v>125</v>
      </c>
      <c r="K6" s="50"/>
      <c r="L6" s="54" t="s">
        <v>127</v>
      </c>
      <c r="M6" s="54" t="s">
        <v>128</v>
      </c>
      <c r="N6" s="55" t="s">
        <v>223</v>
      </c>
    </row>
    <row r="7" customFormat="false" ht="18" hidden="false" customHeight="true" outlineLevel="0" collapsed="false">
      <c r="A7" s="19" t="n">
        <v>2</v>
      </c>
      <c r="B7" s="40" t="s">
        <v>224</v>
      </c>
      <c r="C7" s="40" t="s">
        <v>85</v>
      </c>
      <c r="D7" s="41" t="n">
        <v>300</v>
      </c>
      <c r="E7" s="35"/>
      <c r="F7" s="42" t="str">
        <f aca="false">IF(E7&lt;&gt;"",E7-D7,"")</f>
        <v/>
      </c>
      <c r="G7" s="43" t="str">
        <f aca="false">IF(AND(D7&lt;&gt;0,E7&lt;&gt;""),F7/D7,"")</f>
        <v/>
      </c>
      <c r="H7" s="44" t="s">
        <v>124</v>
      </c>
      <c r="I7" s="44"/>
      <c r="J7" s="44" t="s">
        <v>125</v>
      </c>
      <c r="K7" s="40"/>
      <c r="L7" s="44" t="s">
        <v>127</v>
      </c>
      <c r="M7" s="44" t="s">
        <v>128</v>
      </c>
      <c r="N7" s="45" t="s">
        <v>223</v>
      </c>
    </row>
    <row r="8" customFormat="false" ht="18" hidden="false" customHeight="true" outlineLevel="0" collapsed="false">
      <c r="A8" s="49" t="n">
        <v>3</v>
      </c>
      <c r="B8" s="50" t="s">
        <v>225</v>
      </c>
      <c r="C8" s="50" t="s">
        <v>85</v>
      </c>
      <c r="D8" s="51" t="n">
        <v>165.78</v>
      </c>
      <c r="E8" s="35"/>
      <c r="F8" s="52" t="str">
        <f aca="false">IF(E8&lt;&gt;"",E8-D8,"")</f>
        <v/>
      </c>
      <c r="G8" s="53" t="str">
        <f aca="false">IF(AND(D8&lt;&gt;0,E8&lt;&gt;""),F8/D8,"")</f>
        <v/>
      </c>
      <c r="H8" s="54" t="s">
        <v>124</v>
      </c>
      <c r="I8" s="54" t="s">
        <v>226</v>
      </c>
      <c r="J8" s="54"/>
      <c r="K8" s="50" t="s">
        <v>227</v>
      </c>
      <c r="L8" s="54" t="s">
        <v>127</v>
      </c>
      <c r="M8" s="54" t="s">
        <v>128</v>
      </c>
      <c r="N8" s="55"/>
    </row>
    <row r="9" customFormat="false" ht="18" hidden="false" customHeight="true" outlineLevel="0" collapsed="false">
      <c r="A9" s="19" t="n">
        <v>4</v>
      </c>
      <c r="B9" s="40" t="s">
        <v>101</v>
      </c>
      <c r="C9" s="40" t="s">
        <v>83</v>
      </c>
      <c r="D9" s="41" t="n">
        <v>220</v>
      </c>
      <c r="E9" s="35"/>
      <c r="F9" s="42" t="str">
        <f aca="false">IF(E9&lt;&gt;"",E9-D9,"")</f>
        <v/>
      </c>
      <c r="G9" s="43" t="str">
        <f aca="false">IF(AND(D9&lt;&gt;0,E9&lt;&gt;""),F9/D9,"")</f>
        <v/>
      </c>
      <c r="H9" s="44" t="s">
        <v>124</v>
      </c>
      <c r="I9" s="44"/>
      <c r="J9" s="44"/>
      <c r="K9" s="40"/>
      <c r="L9" s="44" t="s">
        <v>127</v>
      </c>
      <c r="M9" s="44" t="s">
        <v>128</v>
      </c>
      <c r="N9" s="45" t="s">
        <v>161</v>
      </c>
    </row>
    <row r="10" customFormat="false" ht="19.5" hidden="false" customHeight="true" outlineLevel="0" collapsed="false">
      <c r="A10" s="31" t="s">
        <v>228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customFormat="false" ht="18" hidden="false" customHeight="true" outlineLevel="0" collapsed="false">
      <c r="A11" s="49" t="n">
        <v>5</v>
      </c>
      <c r="B11" s="50" t="s">
        <v>229</v>
      </c>
      <c r="C11" s="50" t="s">
        <v>87</v>
      </c>
      <c r="D11" s="51" t="n">
        <v>200</v>
      </c>
      <c r="E11" s="35"/>
      <c r="F11" s="52" t="str">
        <f aca="false">IF(E11&lt;&gt;"",E11-D11,"")</f>
        <v/>
      </c>
      <c r="G11" s="53" t="str">
        <f aca="false">IF(AND(D11&lt;&gt;0,E11&lt;&gt;""),F11/D11,"")</f>
        <v/>
      </c>
      <c r="H11" s="54" t="s">
        <v>230</v>
      </c>
      <c r="I11" s="54"/>
      <c r="J11" s="54"/>
      <c r="K11" s="50"/>
      <c r="L11" s="54" t="s">
        <v>127</v>
      </c>
      <c r="M11" s="54" t="s">
        <v>128</v>
      </c>
      <c r="N11" s="55" t="s">
        <v>231</v>
      </c>
    </row>
    <row r="12" customFormat="false" ht="18" hidden="false" customHeight="true" outlineLevel="0" collapsed="false">
      <c r="A12" s="19" t="n">
        <v>6</v>
      </c>
      <c r="B12" s="40" t="s">
        <v>232</v>
      </c>
      <c r="C12" s="40" t="s">
        <v>87</v>
      </c>
      <c r="D12" s="41" t="n">
        <v>125</v>
      </c>
      <c r="E12" s="35"/>
      <c r="F12" s="42" t="str">
        <f aca="false">IF(E12&lt;&gt;"",E12-D12,"")</f>
        <v/>
      </c>
      <c r="G12" s="43" t="str">
        <f aca="false">IF(AND(D12&lt;&gt;0,E12&lt;&gt;""),F12/D12,"")</f>
        <v/>
      </c>
      <c r="H12" s="44" t="s">
        <v>230</v>
      </c>
      <c r="I12" s="44"/>
      <c r="J12" s="44"/>
      <c r="K12" s="40"/>
      <c r="L12" s="44" t="s">
        <v>127</v>
      </c>
      <c r="M12" s="44" t="s">
        <v>128</v>
      </c>
      <c r="N12" s="45" t="s">
        <v>233</v>
      </c>
    </row>
    <row r="13" customFormat="false" ht="19.5" hidden="false" customHeight="true" outlineLevel="0" collapsed="false">
      <c r="A13" s="31" t="s">
        <v>234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8" hidden="false" customHeight="true" outlineLevel="0" collapsed="false">
      <c r="A14" s="49" t="n">
        <v>7</v>
      </c>
      <c r="B14" s="50" t="s">
        <v>235</v>
      </c>
      <c r="C14" s="50" t="s">
        <v>89</v>
      </c>
      <c r="D14" s="51" t="n">
        <v>379</v>
      </c>
      <c r="E14" s="35"/>
      <c r="F14" s="52" t="str">
        <f aca="false">IF(E14&lt;&gt;"",E14-D14,"")</f>
        <v/>
      </c>
      <c r="G14" s="53" t="str">
        <f aca="false">IF(AND(D14&lt;&gt;0,E14&lt;&gt;""),F14/D14,"")</f>
        <v/>
      </c>
      <c r="H14" s="54" t="s">
        <v>124</v>
      </c>
      <c r="I14" s="54"/>
      <c r="J14" s="54" t="s">
        <v>236</v>
      </c>
      <c r="K14" s="50" t="s">
        <v>237</v>
      </c>
      <c r="L14" s="54" t="s">
        <v>127</v>
      </c>
      <c r="M14" s="54" t="s">
        <v>128</v>
      </c>
      <c r="N14" s="55" t="s">
        <v>238</v>
      </c>
    </row>
    <row r="15" customFormat="false" ht="18" hidden="false" customHeight="true" outlineLevel="0" collapsed="false">
      <c r="A15" s="19" t="n">
        <v>8</v>
      </c>
      <c r="B15" s="40" t="s">
        <v>239</v>
      </c>
      <c r="C15" s="40" t="s">
        <v>89</v>
      </c>
      <c r="D15" s="41" t="n">
        <v>49</v>
      </c>
      <c r="E15" s="35"/>
      <c r="F15" s="42" t="str">
        <f aca="false">IF(E15&lt;&gt;"",E15-D15,"")</f>
        <v/>
      </c>
      <c r="G15" s="43" t="str">
        <f aca="false">IF(AND(D15&lt;&gt;0,E15&lt;&gt;""),F15/D15,"")</f>
        <v/>
      </c>
      <c r="H15" s="44" t="s">
        <v>124</v>
      </c>
      <c r="I15" s="44"/>
      <c r="J15" s="44" t="s">
        <v>125</v>
      </c>
      <c r="K15" s="40" t="s">
        <v>237</v>
      </c>
      <c r="L15" s="44" t="s">
        <v>127</v>
      </c>
      <c r="M15" s="44" t="s">
        <v>128</v>
      </c>
      <c r="N15" s="45" t="s">
        <v>240</v>
      </c>
    </row>
    <row r="16" customFormat="false" ht="18" hidden="false" customHeight="true" outlineLevel="0" collapsed="false">
      <c r="A16" s="49" t="n">
        <v>9</v>
      </c>
      <c r="B16" s="50" t="s">
        <v>241</v>
      </c>
      <c r="C16" s="50" t="s">
        <v>89</v>
      </c>
      <c r="D16" s="51" t="n">
        <v>153</v>
      </c>
      <c r="E16" s="35"/>
      <c r="F16" s="52" t="str">
        <f aca="false">IF(E16&lt;&gt;"",E16-D16,"")</f>
        <v/>
      </c>
      <c r="G16" s="53" t="str">
        <f aca="false">IF(AND(D16&lt;&gt;0,E16&lt;&gt;""),F16/D16,"")</f>
        <v/>
      </c>
      <c r="H16" s="54" t="s">
        <v>124</v>
      </c>
      <c r="I16" s="54"/>
      <c r="J16" s="54"/>
      <c r="K16" s="50" t="s">
        <v>242</v>
      </c>
      <c r="L16" s="54" t="s">
        <v>127</v>
      </c>
      <c r="M16" s="54" t="s">
        <v>128</v>
      </c>
      <c r="N16" s="55" t="s">
        <v>243</v>
      </c>
    </row>
    <row r="17" customFormat="false" ht="19.5" hidden="false" customHeight="true" outlineLevel="0" collapsed="false">
      <c r="A17" s="31" t="s">
        <v>175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18" hidden="false" customHeight="true" outlineLevel="0" collapsed="false">
      <c r="A18" s="49" t="n">
        <v>10</v>
      </c>
      <c r="B18" s="50" t="s">
        <v>244</v>
      </c>
      <c r="C18" s="50" t="s">
        <v>84</v>
      </c>
      <c r="D18" s="51" t="n">
        <v>310</v>
      </c>
      <c r="E18" s="35"/>
      <c r="F18" s="52" t="str">
        <f aca="false">IF(E18&lt;&gt;"",E18-D18,"")</f>
        <v/>
      </c>
      <c r="G18" s="53" t="str">
        <f aca="false">IF(AND(D18&lt;&gt;0,E18&lt;&gt;""),F18/D18,"")</f>
        <v/>
      </c>
      <c r="H18" s="54" t="s">
        <v>124</v>
      </c>
      <c r="I18" s="54" t="s">
        <v>245</v>
      </c>
      <c r="J18" s="54"/>
      <c r="K18" s="50" t="s">
        <v>172</v>
      </c>
      <c r="L18" s="54" t="s">
        <v>131</v>
      </c>
      <c r="M18" s="54" t="s">
        <v>128</v>
      </c>
      <c r="N18" s="55"/>
    </row>
    <row r="19" customFormat="false" ht="18" hidden="false" customHeight="true" outlineLevel="0" collapsed="false">
      <c r="A19" s="19" t="n">
        <v>11</v>
      </c>
      <c r="B19" s="40" t="s">
        <v>246</v>
      </c>
      <c r="C19" s="40" t="s">
        <v>84</v>
      </c>
      <c r="D19" s="41" t="n">
        <v>300</v>
      </c>
      <c r="E19" s="35"/>
      <c r="F19" s="42" t="str">
        <f aca="false">IF(E19&lt;&gt;"",E19-D19,"")</f>
        <v/>
      </c>
      <c r="G19" s="43" t="str">
        <f aca="false">IF(AND(D19&lt;&gt;0,E19&lt;&gt;""),F19/D19,"")</f>
        <v/>
      </c>
      <c r="H19" s="44" t="s">
        <v>124</v>
      </c>
      <c r="I19" s="44"/>
      <c r="J19" s="44"/>
      <c r="K19" s="40"/>
      <c r="L19" s="44" t="s">
        <v>127</v>
      </c>
      <c r="M19" s="44" t="s">
        <v>128</v>
      </c>
      <c r="N19" s="45"/>
    </row>
    <row r="20" customFormat="false" ht="18" hidden="false" customHeight="true" outlineLevel="0" collapsed="false">
      <c r="A20" s="49" t="n">
        <v>12</v>
      </c>
      <c r="B20" s="50" t="s">
        <v>247</v>
      </c>
      <c r="C20" s="50" t="s">
        <v>84</v>
      </c>
      <c r="D20" s="51" t="n">
        <v>30.47</v>
      </c>
      <c r="E20" s="35"/>
      <c r="F20" s="52" t="str">
        <f aca="false">IF(E20&lt;&gt;"",E20-D20,"")</f>
        <v/>
      </c>
      <c r="G20" s="53" t="str">
        <f aca="false">IF(AND(D20&lt;&gt;0,E20&lt;&gt;""),F20/D20,"")</f>
        <v/>
      </c>
      <c r="H20" s="54" t="s">
        <v>124</v>
      </c>
      <c r="I20" s="54" t="s">
        <v>125</v>
      </c>
      <c r="J20" s="54"/>
      <c r="K20" s="50" t="s">
        <v>227</v>
      </c>
      <c r="L20" s="54" t="s">
        <v>127</v>
      </c>
      <c r="M20" s="54" t="s">
        <v>128</v>
      </c>
      <c r="N20" s="55"/>
    </row>
    <row r="21" customFormat="false" ht="19.5" hidden="false" customHeight="true" outlineLevel="0" collapsed="false">
      <c r="A21" s="31" t="s">
        <v>248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customFormat="false" ht="18" hidden="false" customHeight="true" outlineLevel="0" collapsed="false">
      <c r="A22" s="49" t="n">
        <v>13</v>
      </c>
      <c r="B22" s="50" t="s">
        <v>249</v>
      </c>
      <c r="C22" s="50" t="s">
        <v>92</v>
      </c>
      <c r="D22" s="51" t="n">
        <v>235</v>
      </c>
      <c r="E22" s="35"/>
      <c r="F22" s="52" t="str">
        <f aca="false">IF(E22&lt;&gt;"",E22-D22,"")</f>
        <v/>
      </c>
      <c r="G22" s="53" t="str">
        <f aca="false">IF(AND(D22&lt;&gt;0,E22&lt;&gt;""),F22/D22,"")</f>
        <v/>
      </c>
      <c r="H22" s="54" t="s">
        <v>230</v>
      </c>
      <c r="I22" s="54"/>
      <c r="J22" s="54"/>
      <c r="K22" s="50"/>
      <c r="L22" s="54" t="s">
        <v>127</v>
      </c>
      <c r="M22" s="54" t="s">
        <v>128</v>
      </c>
      <c r="N22" s="55" t="s">
        <v>250</v>
      </c>
    </row>
    <row r="23" customFormat="false" ht="18" hidden="false" customHeight="true" outlineLevel="0" collapsed="false">
      <c r="A23" s="19" t="n">
        <v>14</v>
      </c>
      <c r="B23" s="40" t="s">
        <v>251</v>
      </c>
      <c r="C23" s="40" t="s">
        <v>92</v>
      </c>
      <c r="D23" s="41" t="n">
        <v>183</v>
      </c>
      <c r="E23" s="35"/>
      <c r="F23" s="42" t="str">
        <f aca="false">IF(E23&lt;&gt;"",E23-D23,"")</f>
        <v/>
      </c>
      <c r="G23" s="43" t="str">
        <f aca="false">IF(AND(D23&lt;&gt;0,E23&lt;&gt;""),F23/D23,"")</f>
        <v/>
      </c>
      <c r="H23" s="44" t="s">
        <v>124</v>
      </c>
      <c r="I23" s="44"/>
      <c r="J23" s="44" t="s">
        <v>136</v>
      </c>
      <c r="K23" s="40"/>
      <c r="L23" s="44" t="s">
        <v>127</v>
      </c>
      <c r="M23" s="44" t="s">
        <v>128</v>
      </c>
      <c r="N23" s="45" t="s">
        <v>252</v>
      </c>
    </row>
    <row r="24" customFormat="false" ht="19.5" hidden="false" customHeight="true" outlineLevel="0" collapsed="false">
      <c r="A24" s="31" t="s">
        <v>253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customFormat="false" ht="18" hidden="false" customHeight="true" outlineLevel="0" collapsed="false">
      <c r="A25" s="49" t="n">
        <v>15</v>
      </c>
      <c r="B25" s="50" t="s">
        <v>254</v>
      </c>
      <c r="C25" s="50" t="s">
        <v>98</v>
      </c>
      <c r="D25" s="51" t="n">
        <v>375</v>
      </c>
      <c r="E25" s="35"/>
      <c r="F25" s="52" t="str">
        <f aca="false">IF(E25&lt;&gt;"",E25-D25,"")</f>
        <v/>
      </c>
      <c r="G25" s="53" t="str">
        <f aca="false">IF(AND(D25&lt;&gt;0,E25&lt;&gt;""),F25/D25,"")</f>
        <v/>
      </c>
      <c r="H25" s="54" t="s">
        <v>230</v>
      </c>
      <c r="I25" s="54"/>
      <c r="J25" s="54"/>
      <c r="K25" s="50" t="s">
        <v>255</v>
      </c>
      <c r="L25" s="54" t="s">
        <v>127</v>
      </c>
      <c r="M25" s="54" t="s">
        <v>128</v>
      </c>
      <c r="N25" s="55" t="s">
        <v>256</v>
      </c>
    </row>
    <row r="26" customFormat="false" ht="18" hidden="false" customHeight="true" outlineLevel="0" collapsed="false">
      <c r="A26" s="19" t="n">
        <v>16</v>
      </c>
      <c r="B26" s="40" t="s">
        <v>257</v>
      </c>
      <c r="C26" s="40" t="s">
        <v>98</v>
      </c>
      <c r="D26" s="41" t="n">
        <v>1500</v>
      </c>
      <c r="E26" s="35"/>
      <c r="F26" s="42" t="str">
        <f aca="false">IF(E26&lt;&gt;"",E26-D26,"")</f>
        <v/>
      </c>
      <c r="G26" s="43" t="str">
        <f aca="false">IF(AND(D26&lt;&gt;0,E26&lt;&gt;""),F26/D26,"")</f>
        <v/>
      </c>
      <c r="H26" s="44" t="s">
        <v>124</v>
      </c>
      <c r="I26" s="44"/>
      <c r="J26" s="44"/>
      <c r="K26" s="40" t="s">
        <v>258</v>
      </c>
      <c r="L26" s="44" t="s">
        <v>127</v>
      </c>
      <c r="M26" s="44" t="s">
        <v>128</v>
      </c>
      <c r="N26" s="45" t="s">
        <v>259</v>
      </c>
    </row>
    <row r="27" customFormat="false" ht="18" hidden="false" customHeight="true" outlineLevel="0" collapsed="false">
      <c r="A27" s="49" t="n">
        <v>17</v>
      </c>
      <c r="B27" s="50" t="s">
        <v>260</v>
      </c>
      <c r="C27" s="50" t="s">
        <v>98</v>
      </c>
      <c r="D27" s="51" t="n">
        <v>100</v>
      </c>
      <c r="E27" s="35"/>
      <c r="F27" s="52" t="str">
        <f aca="false">IF(E27&lt;&gt;"",E27-D27,"")</f>
        <v/>
      </c>
      <c r="G27" s="53" t="str">
        <f aca="false">IF(AND(D27&lt;&gt;0,E27&lt;&gt;""),F27/D27,"")</f>
        <v/>
      </c>
      <c r="H27" s="54" t="s">
        <v>124</v>
      </c>
      <c r="I27" s="54"/>
      <c r="J27" s="54"/>
      <c r="K27" s="50" t="s">
        <v>130</v>
      </c>
      <c r="L27" s="54" t="s">
        <v>127</v>
      </c>
      <c r="M27" s="54" t="s">
        <v>128</v>
      </c>
      <c r="N27" s="55"/>
    </row>
    <row r="28" customFormat="false" ht="19.5" hidden="false" customHeight="true" outlineLevel="0" collapsed="false">
      <c r="A28" s="31" t="s">
        <v>261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customFormat="false" ht="18" hidden="false" customHeight="true" outlineLevel="0" collapsed="false">
      <c r="A29" s="49" t="n">
        <v>18</v>
      </c>
      <c r="B29" s="50" t="s">
        <v>262</v>
      </c>
      <c r="C29" s="50" t="s">
        <v>96</v>
      </c>
      <c r="D29" s="51" t="n">
        <v>500</v>
      </c>
      <c r="E29" s="35"/>
      <c r="F29" s="52" t="str">
        <f aca="false">IF(E29&lt;&gt;"",E29-D29,"")</f>
        <v/>
      </c>
      <c r="G29" s="53" t="str">
        <f aca="false">IF(AND(D29&lt;&gt;0,E29&lt;&gt;""),F29/D29,"")</f>
        <v/>
      </c>
      <c r="H29" s="54" t="s">
        <v>230</v>
      </c>
      <c r="I29" s="54"/>
      <c r="J29" s="54"/>
      <c r="K29" s="50"/>
      <c r="L29" s="54" t="s">
        <v>127</v>
      </c>
      <c r="M29" s="54" t="s">
        <v>128</v>
      </c>
      <c r="N29" s="55" t="s">
        <v>263</v>
      </c>
    </row>
    <row r="30" customFormat="false" ht="19.5" hidden="false" customHeight="true" outlineLevel="0" collapsed="false">
      <c r="A30" s="31" t="s">
        <v>264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8" hidden="false" customHeight="true" outlineLevel="0" collapsed="false">
      <c r="A31" s="49" t="n">
        <v>19</v>
      </c>
      <c r="B31" s="50" t="s">
        <v>265</v>
      </c>
      <c r="C31" s="50" t="s">
        <v>100</v>
      </c>
      <c r="D31" s="51" t="n">
        <v>185</v>
      </c>
      <c r="E31" s="35"/>
      <c r="F31" s="52" t="str">
        <f aca="false">IF(E31&lt;&gt;"",E31-D31,"")</f>
        <v/>
      </c>
      <c r="G31" s="53" t="str">
        <f aca="false">IF(AND(D31&lt;&gt;0,E31&lt;&gt;""),F31/D31,"")</f>
        <v/>
      </c>
      <c r="H31" s="54" t="s">
        <v>230</v>
      </c>
      <c r="I31" s="54"/>
      <c r="J31" s="54"/>
      <c r="K31" s="50"/>
      <c r="L31" s="54" t="s">
        <v>127</v>
      </c>
      <c r="M31" s="54" t="s">
        <v>128</v>
      </c>
      <c r="N31" s="55" t="s">
        <v>266</v>
      </c>
    </row>
    <row r="32" customFormat="false" ht="18" hidden="false" customHeight="true" outlineLevel="0" collapsed="false">
      <c r="A32" s="19" t="n">
        <v>20</v>
      </c>
      <c r="B32" s="40" t="s">
        <v>267</v>
      </c>
      <c r="C32" s="40" t="s">
        <v>100</v>
      </c>
      <c r="D32" s="41" t="n">
        <v>500</v>
      </c>
      <c r="E32" s="35"/>
      <c r="F32" s="42" t="str">
        <f aca="false">IF(E32&lt;&gt;"",E32-D32,"")</f>
        <v/>
      </c>
      <c r="G32" s="43" t="str">
        <f aca="false">IF(AND(D32&lt;&gt;0,E32&lt;&gt;""),F32/D32,"")</f>
        <v/>
      </c>
      <c r="H32" s="44" t="s">
        <v>230</v>
      </c>
      <c r="I32" s="44"/>
      <c r="J32" s="44"/>
      <c r="K32" s="40"/>
      <c r="L32" s="44" t="s">
        <v>127</v>
      </c>
      <c r="M32" s="44" t="s">
        <v>128</v>
      </c>
      <c r="N32" s="45" t="s">
        <v>268</v>
      </c>
    </row>
    <row r="33" customFormat="false" ht="19.5" hidden="false" customHeight="true" outlineLevel="0" collapsed="false">
      <c r="A33" s="31" t="s">
        <v>269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customFormat="false" ht="18" hidden="false" customHeight="true" outlineLevel="0" collapsed="false">
      <c r="A34" s="49" t="n">
        <v>21</v>
      </c>
      <c r="B34" s="50" t="s">
        <v>270</v>
      </c>
      <c r="C34" s="50" t="s">
        <v>94</v>
      </c>
      <c r="D34" s="51" t="n">
        <v>27</v>
      </c>
      <c r="E34" s="35"/>
      <c r="F34" s="52" t="str">
        <f aca="false">IF(E34&lt;&gt;"",E34-D34,"")</f>
        <v/>
      </c>
      <c r="G34" s="53" t="str">
        <f aca="false">IF(AND(D34&lt;&gt;0,E34&lt;&gt;""),F34/D34,"")</f>
        <v/>
      </c>
      <c r="H34" s="54" t="s">
        <v>124</v>
      </c>
      <c r="I34" s="54"/>
      <c r="J34" s="54"/>
      <c r="K34" s="50"/>
      <c r="L34" s="54" t="s">
        <v>127</v>
      </c>
      <c r="M34" s="54" t="s">
        <v>128</v>
      </c>
      <c r="N34" s="55"/>
    </row>
    <row r="35" customFormat="false" ht="18" hidden="false" customHeight="true" outlineLevel="0" collapsed="false">
      <c r="A35" s="19" t="n">
        <v>22</v>
      </c>
      <c r="B35" s="40" t="s">
        <v>271</v>
      </c>
      <c r="C35" s="40" t="s">
        <v>94</v>
      </c>
      <c r="D35" s="41" t="n">
        <v>38</v>
      </c>
      <c r="E35" s="35"/>
      <c r="F35" s="42" t="str">
        <f aca="false">IF(E35&lt;&gt;"",E35-D35,"")</f>
        <v/>
      </c>
      <c r="G35" s="43" t="str">
        <f aca="false">IF(AND(D35&lt;&gt;0,E35&lt;&gt;""),F35/D35,"")</f>
        <v/>
      </c>
      <c r="H35" s="44" t="s">
        <v>124</v>
      </c>
      <c r="I35" s="44"/>
      <c r="J35" s="44"/>
      <c r="K35" s="40" t="s">
        <v>237</v>
      </c>
      <c r="L35" s="44" t="s">
        <v>127</v>
      </c>
      <c r="M35" s="44" t="s">
        <v>128</v>
      </c>
      <c r="N35" s="45"/>
    </row>
    <row r="36" customFormat="false" ht="18" hidden="false" customHeight="true" outlineLevel="0" collapsed="false">
      <c r="A36" s="49" t="n">
        <v>23</v>
      </c>
      <c r="B36" s="50" t="s">
        <v>272</v>
      </c>
      <c r="C36" s="50" t="s">
        <v>94</v>
      </c>
      <c r="D36" s="51" t="n">
        <v>25</v>
      </c>
      <c r="E36" s="35"/>
      <c r="F36" s="52" t="str">
        <f aca="false">IF(E36&lt;&gt;"",E36-D36,"")</f>
        <v/>
      </c>
      <c r="G36" s="53" t="str">
        <f aca="false">IF(AND(D36&lt;&gt;0,E36&lt;&gt;""),F36/D36,"")</f>
        <v/>
      </c>
      <c r="H36" s="54" t="s">
        <v>124</v>
      </c>
      <c r="I36" s="54"/>
      <c r="J36" s="54"/>
      <c r="K36" s="50" t="s">
        <v>237</v>
      </c>
      <c r="L36" s="54" t="s">
        <v>127</v>
      </c>
      <c r="M36" s="54" t="s">
        <v>128</v>
      </c>
      <c r="N36" s="55"/>
    </row>
    <row r="37" customFormat="false" ht="19.5" hidden="false" customHeight="true" outlineLevel="0" collapsed="false">
      <c r="A37" s="31" t="s">
        <v>273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customFormat="false" ht="18" hidden="false" customHeight="true" outlineLevel="0" collapsed="false">
      <c r="A38" s="49" t="n">
        <v>24</v>
      </c>
      <c r="B38" s="50" t="s">
        <v>274</v>
      </c>
      <c r="C38" s="50" t="s">
        <v>102</v>
      </c>
      <c r="D38" s="51" t="n">
        <v>170</v>
      </c>
      <c r="E38" s="35"/>
      <c r="F38" s="52" t="str">
        <f aca="false">IF(E38&lt;&gt;"",E38-D38,"")</f>
        <v/>
      </c>
      <c r="G38" s="53" t="str">
        <f aca="false">IF(AND(D38&lt;&gt;0,E38&lt;&gt;""),F38/D38,"")</f>
        <v/>
      </c>
      <c r="H38" s="54" t="s">
        <v>124</v>
      </c>
      <c r="I38" s="54"/>
      <c r="J38" s="54"/>
      <c r="K38" s="50"/>
      <c r="L38" s="54" t="s">
        <v>127</v>
      </c>
      <c r="M38" s="54" t="s">
        <v>128</v>
      </c>
      <c r="N38" s="55"/>
    </row>
    <row r="40" customFormat="false" ht="24" hidden="false" customHeight="true" outlineLevel="0" collapsed="false">
      <c r="A40" s="46" t="s">
        <v>219</v>
      </c>
      <c r="B40" s="46"/>
      <c r="C40" s="46"/>
      <c r="D40" s="47" t="n">
        <f aca="false">SUMIF(D5:D38,"&gt;0")</f>
        <v>14770.25</v>
      </c>
      <c r="E40" s="47" t="n">
        <f aca="false">SUMIF(E5:E38,"&gt;0")</f>
        <v>0</v>
      </c>
      <c r="F40" s="47" t="n">
        <f aca="false">IF(E40&lt;&gt;"",E40-D40,"")</f>
        <v>-14770.25</v>
      </c>
      <c r="G40" s="48"/>
      <c r="H40" s="48"/>
      <c r="I40" s="48"/>
      <c r="J40" s="48"/>
      <c r="K40" s="48"/>
      <c r="L40" s="48"/>
      <c r="M40" s="48"/>
      <c r="N40" s="48"/>
    </row>
  </sheetData>
  <mergeCells count="14">
    <mergeCell ref="A1:N1"/>
    <mergeCell ref="A2:N2"/>
    <mergeCell ref="A3:C3"/>
    <mergeCell ref="A5:N5"/>
    <mergeCell ref="A10:N10"/>
    <mergeCell ref="A13:N13"/>
    <mergeCell ref="A17:N17"/>
    <mergeCell ref="A21:N21"/>
    <mergeCell ref="A24:N24"/>
    <mergeCell ref="A28:N28"/>
    <mergeCell ref="A30:N30"/>
    <mergeCell ref="A33:N33"/>
    <mergeCell ref="A37:N37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8"/>
  </cols>
  <sheetData>
    <row r="1" customFormat="false" ht="27.75" hidden="false" customHeight="true" outlineLevel="0" collapsed="false">
      <c r="A1" s="2" t="s">
        <v>275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56" t="s">
        <v>276</v>
      </c>
      <c r="B2" s="56"/>
      <c r="C2" s="56"/>
      <c r="D2" s="56"/>
      <c r="E2" s="56"/>
      <c r="F2" s="56"/>
      <c r="G2" s="56"/>
      <c r="H2" s="56"/>
    </row>
    <row r="3" customFormat="false" ht="9.75" hidden="false" customHeight="true" outlineLevel="0" collapsed="false"/>
    <row r="4" customFormat="false" ht="30" hidden="false" customHeight="true" outlineLevel="0" collapsed="false">
      <c r="A4" s="57" t="s">
        <v>277</v>
      </c>
      <c r="B4" s="57" t="s">
        <v>278</v>
      </c>
      <c r="C4" s="57" t="s">
        <v>279</v>
      </c>
      <c r="D4" s="57" t="s">
        <v>280</v>
      </c>
      <c r="E4" s="57" t="s">
        <v>281</v>
      </c>
      <c r="F4" s="57" t="s">
        <v>282</v>
      </c>
    </row>
    <row r="5" customFormat="false" ht="36" hidden="false" customHeight="true" outlineLevel="0" collapsed="false">
      <c r="A5" s="58" t="n">
        <f aca="false">'BIZ Budget'!D66</f>
        <v>14760.95</v>
      </c>
      <c r="B5" s="58" t="n">
        <f aca="false">'BIZ Budget'!E66</f>
        <v>0</v>
      </c>
      <c r="C5" s="58" t="n">
        <f aca="false">'PERSONAL Budget'!D40</f>
        <v>14770.25</v>
      </c>
      <c r="D5" s="58" t="n">
        <f aca="false">'PERSONAL Budget'!E40</f>
        <v>0</v>
      </c>
      <c r="E5" s="58" t="n">
        <f aca="false">'BIZ Budget'!D66+'PERSONAL Budget'!D40</f>
        <v>29531.2</v>
      </c>
      <c r="F5" s="58" t="n">
        <f aca="false">'BIZ Budget'!E66+'PERSONAL Budget'!E40</f>
        <v>0</v>
      </c>
    </row>
    <row r="6" customFormat="false" ht="9.75" hidden="false" customHeight="true" outlineLevel="0" collapsed="false"/>
    <row r="7" customFormat="false" ht="27.75" hidden="false" customHeight="true" outlineLevel="0" collapsed="false">
      <c r="A7" s="3" t="s">
        <v>283</v>
      </c>
      <c r="B7" s="3"/>
      <c r="C7" s="3"/>
      <c r="D7" s="3"/>
      <c r="E7" s="3"/>
      <c r="F7" s="3"/>
      <c r="G7" s="3"/>
      <c r="H7" s="3"/>
    </row>
    <row r="8" customFormat="false" ht="30" hidden="false" customHeight="true" outlineLevel="0" collapsed="false">
      <c r="A8" s="17" t="s">
        <v>110</v>
      </c>
      <c r="B8" s="17" t="s">
        <v>284</v>
      </c>
      <c r="C8" s="17" t="s">
        <v>285</v>
      </c>
      <c r="D8" s="17" t="s">
        <v>286</v>
      </c>
      <c r="E8" s="17" t="s">
        <v>287</v>
      </c>
      <c r="F8" s="17" t="s">
        <v>288</v>
      </c>
      <c r="G8" s="17" t="s">
        <v>289</v>
      </c>
      <c r="H8" s="17" t="s">
        <v>290</v>
      </c>
    </row>
    <row r="9" customFormat="false" ht="18" hidden="false" customHeight="true" outlineLevel="0" collapsed="false">
      <c r="A9" s="59" t="s">
        <v>82</v>
      </c>
      <c r="B9" s="60" t="s">
        <v>291</v>
      </c>
      <c r="C9" s="60" t="s">
        <v>291</v>
      </c>
      <c r="D9" s="61" t="s">
        <v>291</v>
      </c>
      <c r="E9" s="60" t="s">
        <v>291</v>
      </c>
      <c r="F9" s="60" t="s">
        <v>291</v>
      </c>
      <c r="G9" s="61" t="s">
        <v>291</v>
      </c>
      <c r="H9" s="60" t="s">
        <v>291</v>
      </c>
    </row>
    <row r="10" customFormat="false" ht="18" hidden="false" customHeight="true" outlineLevel="0" collapsed="false">
      <c r="A10" s="62" t="s">
        <v>84</v>
      </c>
      <c r="B10" s="63" t="s">
        <v>291</v>
      </c>
      <c r="C10" s="63" t="s">
        <v>291</v>
      </c>
      <c r="D10" s="64" t="s">
        <v>291</v>
      </c>
      <c r="E10" s="63" t="s">
        <v>291</v>
      </c>
      <c r="F10" s="63" t="s">
        <v>291</v>
      </c>
      <c r="G10" s="64" t="s">
        <v>291</v>
      </c>
      <c r="H10" s="63" t="s">
        <v>291</v>
      </c>
    </row>
    <row r="11" customFormat="false" ht="18" hidden="false" customHeight="true" outlineLevel="0" collapsed="false">
      <c r="A11" s="59" t="s">
        <v>86</v>
      </c>
      <c r="B11" s="60" t="s">
        <v>291</v>
      </c>
      <c r="C11" s="60" t="s">
        <v>291</v>
      </c>
      <c r="D11" s="61" t="s">
        <v>291</v>
      </c>
      <c r="E11" s="60" t="s">
        <v>291</v>
      </c>
      <c r="F11" s="60" t="s">
        <v>291</v>
      </c>
      <c r="G11" s="61" t="s">
        <v>291</v>
      </c>
      <c r="H11" s="60" t="s">
        <v>291</v>
      </c>
    </row>
    <row r="12" customFormat="false" ht="18" hidden="false" customHeight="true" outlineLevel="0" collapsed="false">
      <c r="A12" s="62" t="s">
        <v>88</v>
      </c>
      <c r="B12" s="63" t="s">
        <v>291</v>
      </c>
      <c r="C12" s="63" t="s">
        <v>291</v>
      </c>
      <c r="D12" s="64" t="s">
        <v>291</v>
      </c>
      <c r="E12" s="63" t="s">
        <v>291</v>
      </c>
      <c r="F12" s="63" t="s">
        <v>291</v>
      </c>
      <c r="G12" s="64" t="s">
        <v>291</v>
      </c>
      <c r="H12" s="63" t="s">
        <v>291</v>
      </c>
    </row>
    <row r="13" customFormat="false" ht="18" hidden="false" customHeight="true" outlineLevel="0" collapsed="false">
      <c r="A13" s="59" t="s">
        <v>90</v>
      </c>
      <c r="B13" s="60" t="s">
        <v>291</v>
      </c>
      <c r="C13" s="60" t="s">
        <v>291</v>
      </c>
      <c r="D13" s="61" t="s">
        <v>291</v>
      </c>
      <c r="E13" s="60" t="s">
        <v>291</v>
      </c>
      <c r="F13" s="60" t="s">
        <v>291</v>
      </c>
      <c r="G13" s="61" t="s">
        <v>291</v>
      </c>
      <c r="H13" s="60" t="s">
        <v>291</v>
      </c>
    </row>
    <row r="14" customFormat="false" ht="18" hidden="false" customHeight="true" outlineLevel="0" collapsed="false">
      <c r="A14" s="62" t="s">
        <v>91</v>
      </c>
      <c r="B14" s="63" t="s">
        <v>291</v>
      </c>
      <c r="C14" s="63" t="s">
        <v>291</v>
      </c>
      <c r="D14" s="64" t="s">
        <v>291</v>
      </c>
      <c r="E14" s="63" t="s">
        <v>291</v>
      </c>
      <c r="F14" s="63" t="s">
        <v>291</v>
      </c>
      <c r="G14" s="64" t="s">
        <v>291</v>
      </c>
      <c r="H14" s="63" t="s">
        <v>291</v>
      </c>
    </row>
    <row r="15" customFormat="false" ht="18" hidden="false" customHeight="true" outlineLevel="0" collapsed="false">
      <c r="A15" s="59" t="s">
        <v>93</v>
      </c>
      <c r="B15" s="60" t="s">
        <v>291</v>
      </c>
      <c r="C15" s="60" t="s">
        <v>291</v>
      </c>
      <c r="D15" s="61" t="s">
        <v>291</v>
      </c>
      <c r="E15" s="60" t="s">
        <v>291</v>
      </c>
      <c r="F15" s="60" t="s">
        <v>291</v>
      </c>
      <c r="G15" s="61" t="s">
        <v>291</v>
      </c>
      <c r="H15" s="60" t="s">
        <v>291</v>
      </c>
    </row>
    <row r="16" customFormat="false" ht="18" hidden="false" customHeight="true" outlineLevel="0" collapsed="false">
      <c r="A16" s="62" t="s">
        <v>95</v>
      </c>
      <c r="B16" s="63" t="s">
        <v>291</v>
      </c>
      <c r="C16" s="63" t="s">
        <v>291</v>
      </c>
      <c r="D16" s="64" t="s">
        <v>291</v>
      </c>
      <c r="E16" s="63" t="s">
        <v>291</v>
      </c>
      <c r="F16" s="63" t="s">
        <v>291</v>
      </c>
      <c r="G16" s="64" t="s">
        <v>291</v>
      </c>
      <c r="H16" s="63" t="s">
        <v>291</v>
      </c>
    </row>
    <row r="17" customFormat="false" ht="18" hidden="false" customHeight="true" outlineLevel="0" collapsed="false">
      <c r="A17" s="59" t="s">
        <v>99</v>
      </c>
      <c r="B17" s="60" t="s">
        <v>291</v>
      </c>
      <c r="C17" s="60" t="s">
        <v>291</v>
      </c>
      <c r="D17" s="61" t="s">
        <v>291</v>
      </c>
      <c r="E17" s="60" t="s">
        <v>291</v>
      </c>
      <c r="F17" s="60" t="s">
        <v>291</v>
      </c>
      <c r="G17" s="61" t="s">
        <v>291</v>
      </c>
      <c r="H17" s="60" t="s">
        <v>291</v>
      </c>
    </row>
    <row r="18" customFormat="false" ht="18" hidden="false" customHeight="true" outlineLevel="0" collapsed="false">
      <c r="A18" s="62" t="s">
        <v>101</v>
      </c>
      <c r="B18" s="63" t="s">
        <v>291</v>
      </c>
      <c r="C18" s="63" t="s">
        <v>291</v>
      </c>
      <c r="D18" s="64" t="s">
        <v>291</v>
      </c>
      <c r="E18" s="63" t="s">
        <v>291</v>
      </c>
      <c r="F18" s="63" t="s">
        <v>291</v>
      </c>
      <c r="G18" s="64" t="s">
        <v>291</v>
      </c>
      <c r="H18" s="63" t="s">
        <v>291</v>
      </c>
    </row>
    <row r="19" customFormat="false" ht="18" hidden="false" customHeight="true" outlineLevel="0" collapsed="false">
      <c r="A19" s="59" t="s">
        <v>98</v>
      </c>
      <c r="B19" s="60" t="s">
        <v>291</v>
      </c>
      <c r="C19" s="60" t="s">
        <v>291</v>
      </c>
      <c r="D19" s="61" t="s">
        <v>291</v>
      </c>
      <c r="E19" s="60" t="s">
        <v>291</v>
      </c>
      <c r="F19" s="60" t="s">
        <v>291</v>
      </c>
      <c r="G19" s="61" t="s">
        <v>291</v>
      </c>
      <c r="H19" s="60" t="s">
        <v>291</v>
      </c>
    </row>
    <row r="20" customFormat="false" ht="18" hidden="false" customHeight="true" outlineLevel="0" collapsed="false">
      <c r="A20" s="62" t="s">
        <v>292</v>
      </c>
      <c r="B20" s="63" t="s">
        <v>291</v>
      </c>
      <c r="C20" s="63" t="s">
        <v>291</v>
      </c>
      <c r="D20" s="64" t="s">
        <v>291</v>
      </c>
      <c r="E20" s="63" t="s">
        <v>291</v>
      </c>
      <c r="F20" s="63" t="s">
        <v>291</v>
      </c>
      <c r="G20" s="64" t="s">
        <v>291</v>
      </c>
      <c r="H20" s="63" t="s">
        <v>291</v>
      </c>
    </row>
    <row r="22" customFormat="false" ht="21.75" hidden="false" customHeight="true" outlineLevel="0" collapsed="false">
      <c r="A22" s="65" t="s">
        <v>293</v>
      </c>
      <c r="B22" s="65"/>
      <c r="C22" s="65"/>
      <c r="D22" s="65"/>
      <c r="E22" s="65"/>
      <c r="F22" s="65"/>
      <c r="G22" s="65"/>
      <c r="H22" s="65"/>
    </row>
    <row r="24" customFormat="false" ht="27.75" hidden="false" customHeight="true" outlineLevel="0" collapsed="false">
      <c r="A24" s="66" t="s">
        <v>294</v>
      </c>
      <c r="B24" s="66"/>
      <c r="C24" s="66"/>
      <c r="D24" s="66"/>
      <c r="E24" s="66"/>
      <c r="F24" s="66"/>
      <c r="G24" s="66"/>
      <c r="H24" s="66"/>
    </row>
    <row r="25" customFormat="false" ht="30" hidden="false" customHeight="true" outlineLevel="0" collapsed="false">
      <c r="A25" s="17" t="s">
        <v>118</v>
      </c>
      <c r="B25" s="17" t="s">
        <v>295</v>
      </c>
      <c r="C25" s="17" t="s">
        <v>296</v>
      </c>
      <c r="D25" s="17" t="s">
        <v>297</v>
      </c>
      <c r="E25" s="17"/>
      <c r="F25" s="17"/>
      <c r="G25" s="17"/>
      <c r="H25" s="17"/>
    </row>
    <row r="26" customFormat="false" ht="18" hidden="false" customHeight="true" outlineLevel="0" collapsed="false">
      <c r="A26" s="67" t="s">
        <v>130</v>
      </c>
      <c r="B26" s="68" t="s">
        <v>291</v>
      </c>
      <c r="C26" s="68" t="s">
        <v>291</v>
      </c>
      <c r="D26" s="68" t="s">
        <v>291</v>
      </c>
      <c r="E26" s="68"/>
      <c r="F26" s="68"/>
      <c r="G26" s="68"/>
      <c r="H26" s="68"/>
    </row>
    <row r="27" customFormat="false" ht="18" hidden="false" customHeight="true" outlineLevel="0" collapsed="false">
      <c r="A27" s="62" t="s">
        <v>298</v>
      </c>
      <c r="B27" s="64" t="s">
        <v>291</v>
      </c>
      <c r="C27" s="64" t="s">
        <v>291</v>
      </c>
      <c r="D27" s="64" t="s">
        <v>291</v>
      </c>
      <c r="E27" s="64"/>
      <c r="F27" s="64"/>
      <c r="G27" s="64"/>
      <c r="H27" s="64"/>
    </row>
    <row r="28" customFormat="false" ht="18" hidden="false" customHeight="true" outlineLevel="0" collapsed="false">
      <c r="A28" s="67" t="s">
        <v>172</v>
      </c>
      <c r="B28" s="68" t="s">
        <v>291</v>
      </c>
      <c r="C28" s="68" t="s">
        <v>291</v>
      </c>
      <c r="D28" s="68" t="s">
        <v>291</v>
      </c>
      <c r="E28" s="68"/>
      <c r="F28" s="68"/>
      <c r="G28" s="68"/>
      <c r="H28" s="68"/>
    </row>
    <row r="29" customFormat="false" ht="18" hidden="false" customHeight="true" outlineLevel="0" collapsed="false">
      <c r="A29" s="62" t="s">
        <v>242</v>
      </c>
      <c r="B29" s="64" t="s">
        <v>291</v>
      </c>
      <c r="C29" s="64" t="s">
        <v>291</v>
      </c>
      <c r="D29" s="64" t="s">
        <v>291</v>
      </c>
      <c r="E29" s="64"/>
      <c r="F29" s="64"/>
      <c r="G29" s="64"/>
      <c r="H29" s="64"/>
    </row>
    <row r="30" customFormat="false" ht="18" hidden="false" customHeight="true" outlineLevel="0" collapsed="false">
      <c r="A30" s="67" t="s">
        <v>299</v>
      </c>
      <c r="B30" s="68" t="s">
        <v>291</v>
      </c>
      <c r="C30" s="68" t="s">
        <v>291</v>
      </c>
      <c r="D30" s="68" t="s">
        <v>291</v>
      </c>
      <c r="E30" s="68"/>
      <c r="F30" s="68"/>
      <c r="G30" s="68"/>
      <c r="H30" s="68"/>
    </row>
    <row r="31" customFormat="false" ht="18" hidden="false" customHeight="true" outlineLevel="0" collapsed="false">
      <c r="A31" s="62" t="s">
        <v>300</v>
      </c>
      <c r="B31" s="64" t="s">
        <v>291</v>
      </c>
      <c r="C31" s="64" t="s">
        <v>291</v>
      </c>
      <c r="D31" s="64" t="s">
        <v>291</v>
      </c>
      <c r="E31" s="64"/>
      <c r="F31" s="64"/>
      <c r="G31" s="64"/>
      <c r="H31" s="64"/>
    </row>
    <row r="32" customFormat="false" ht="18" hidden="false" customHeight="true" outlineLevel="0" collapsed="false">
      <c r="A32" s="67" t="s">
        <v>301</v>
      </c>
      <c r="B32" s="68" t="s">
        <v>291</v>
      </c>
      <c r="C32" s="68" t="s">
        <v>291</v>
      </c>
      <c r="D32" s="68" t="s">
        <v>291</v>
      </c>
      <c r="E32" s="68"/>
      <c r="F32" s="68"/>
      <c r="G32" s="68"/>
      <c r="H32" s="68"/>
    </row>
  </sheetData>
  <mergeCells count="13">
    <mergeCell ref="A1:H1"/>
    <mergeCell ref="A2:H2"/>
    <mergeCell ref="A7:H7"/>
    <mergeCell ref="A22:H22"/>
    <mergeCell ref="A24:H24"/>
    <mergeCell ref="D25:H25"/>
    <mergeCell ref="D26:H26"/>
    <mergeCell ref="D27:H27"/>
    <mergeCell ref="D28:H28"/>
    <mergeCell ref="D29:H29"/>
    <mergeCell ref="D30:H30"/>
    <mergeCell ref="D31:H31"/>
    <mergeCell ref="D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25"/>
  </cols>
  <sheetData>
    <row r="1" customFormat="false" ht="27.75" hidden="false" customHeight="true" outlineLevel="0" collapsed="false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7.75" hidden="false" customHeight="true" outlineLevel="0" collapsed="false">
      <c r="A2" s="56" t="s">
        <v>303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customFormat="false" ht="30" hidden="false" customHeight="true" outlineLevel="0" collapsed="false">
      <c r="A3" s="17" t="s">
        <v>109</v>
      </c>
      <c r="B3" s="17" t="s">
        <v>110</v>
      </c>
      <c r="C3" s="17" t="s">
        <v>304</v>
      </c>
      <c r="D3" s="17" t="s">
        <v>305</v>
      </c>
      <c r="E3" s="17" t="s">
        <v>119</v>
      </c>
      <c r="F3" s="17" t="s">
        <v>121</v>
      </c>
    </row>
    <row r="4" customFormat="false" ht="24" hidden="false" customHeight="true" outlineLevel="0" collapsed="false">
      <c r="A4" s="69" t="s">
        <v>306</v>
      </c>
      <c r="B4" s="69"/>
      <c r="C4" s="69"/>
      <c r="D4" s="69"/>
      <c r="E4" s="69"/>
      <c r="F4" s="69"/>
    </row>
    <row r="5" customFormat="false" ht="18" hidden="false" customHeight="true" outlineLevel="0" collapsed="false">
      <c r="A5" s="70" t="s">
        <v>307</v>
      </c>
      <c r="B5" s="70" t="s">
        <v>308</v>
      </c>
      <c r="C5" s="71" t="n">
        <v>453.19</v>
      </c>
      <c r="D5" s="70" t="s">
        <v>309</v>
      </c>
      <c r="E5" s="70" t="s">
        <v>127</v>
      </c>
      <c r="F5" s="70"/>
    </row>
    <row r="6" customFormat="false" ht="18" hidden="false" customHeight="true" outlineLevel="0" collapsed="false">
      <c r="A6" s="72" t="s">
        <v>310</v>
      </c>
      <c r="B6" s="72" t="s">
        <v>308</v>
      </c>
      <c r="C6" s="73" t="n">
        <v>120</v>
      </c>
      <c r="D6" s="72" t="s">
        <v>130</v>
      </c>
      <c r="E6" s="72" t="s">
        <v>131</v>
      </c>
      <c r="F6" s="72"/>
    </row>
    <row r="7" customFormat="false" ht="18" hidden="false" customHeight="true" outlineLevel="0" collapsed="false">
      <c r="A7" s="70" t="s">
        <v>311</v>
      </c>
      <c r="B7" s="70" t="s">
        <v>308</v>
      </c>
      <c r="C7" s="71" t="n">
        <v>100</v>
      </c>
      <c r="D7" s="70" t="s">
        <v>130</v>
      </c>
      <c r="E7" s="70" t="s">
        <v>127</v>
      </c>
      <c r="F7" s="70"/>
    </row>
    <row r="8" customFormat="false" ht="18" hidden="false" customHeight="true" outlineLevel="0" collapsed="false">
      <c r="A8" s="70" t="s">
        <v>312</v>
      </c>
      <c r="B8" s="70" t="s">
        <v>313</v>
      </c>
      <c r="C8" s="71" t="n">
        <v>200</v>
      </c>
      <c r="D8" s="70" t="s">
        <v>314</v>
      </c>
      <c r="E8" s="70" t="s">
        <v>127</v>
      </c>
      <c r="F8" s="70"/>
    </row>
    <row r="9" customFormat="false" ht="18" hidden="false" customHeight="true" outlineLevel="0" collapsed="false">
      <c r="A9" s="74" t="s">
        <v>315</v>
      </c>
      <c r="B9" s="74" t="s">
        <v>83</v>
      </c>
      <c r="C9" s="75" t="n">
        <v>8700</v>
      </c>
      <c r="D9" s="74"/>
      <c r="E9" s="74" t="s">
        <v>127</v>
      </c>
      <c r="F9" s="74" t="s">
        <v>316</v>
      </c>
    </row>
    <row r="10" customFormat="false" ht="18" hidden="false" customHeight="true" outlineLevel="0" collapsed="false">
      <c r="A10" s="74" t="s">
        <v>317</v>
      </c>
      <c r="B10" s="74" t="s">
        <v>84</v>
      </c>
      <c r="C10" s="75" t="n">
        <v>30.47</v>
      </c>
      <c r="D10" s="74" t="s">
        <v>227</v>
      </c>
      <c r="E10" s="74" t="s">
        <v>127</v>
      </c>
      <c r="F10" s="74"/>
    </row>
    <row r="11" customFormat="false" ht="18" hidden="false" customHeight="true" outlineLevel="0" collapsed="false">
      <c r="A11" s="70" t="s">
        <v>318</v>
      </c>
      <c r="B11" s="70" t="s">
        <v>308</v>
      </c>
      <c r="C11" s="71" t="n">
        <v>20</v>
      </c>
      <c r="D11" s="70" t="s">
        <v>130</v>
      </c>
      <c r="E11" s="70" t="s">
        <v>127</v>
      </c>
      <c r="F11" s="70"/>
    </row>
    <row r="12" customFormat="false" ht="18" hidden="false" customHeight="true" outlineLevel="0" collapsed="false">
      <c r="A12" s="70" t="s">
        <v>319</v>
      </c>
      <c r="B12" s="70" t="s">
        <v>308</v>
      </c>
      <c r="C12" s="71" t="n">
        <v>152.45</v>
      </c>
      <c r="D12" s="70" t="s">
        <v>130</v>
      </c>
      <c r="E12" s="70" t="s">
        <v>127</v>
      </c>
      <c r="F12" s="70"/>
    </row>
    <row r="13" customFormat="false" ht="18" hidden="false" customHeight="true" outlineLevel="0" collapsed="false">
      <c r="A13" s="70" t="s">
        <v>320</v>
      </c>
      <c r="B13" s="70" t="s">
        <v>308</v>
      </c>
      <c r="C13" s="71" t="n">
        <v>9.99</v>
      </c>
      <c r="D13" s="70" t="s">
        <v>130</v>
      </c>
      <c r="E13" s="70" t="s">
        <v>127</v>
      </c>
      <c r="F13" s="70"/>
    </row>
    <row r="14" customFormat="false" ht="18" hidden="false" customHeight="true" outlineLevel="0" collapsed="false">
      <c r="A14" s="70" t="s">
        <v>321</v>
      </c>
      <c r="B14" s="70" t="s">
        <v>313</v>
      </c>
      <c r="C14" s="71" t="n">
        <v>65</v>
      </c>
      <c r="D14" s="70"/>
      <c r="E14" s="70" t="s">
        <v>127</v>
      </c>
      <c r="F14" s="70"/>
    </row>
    <row r="15" customFormat="false" ht="18" hidden="false" customHeight="true" outlineLevel="0" collapsed="false">
      <c r="A15" s="74" t="s">
        <v>322</v>
      </c>
      <c r="B15" s="74" t="s">
        <v>96</v>
      </c>
      <c r="C15" s="75" t="n">
        <v>500</v>
      </c>
      <c r="D15" s="74"/>
      <c r="E15" s="74" t="s">
        <v>127</v>
      </c>
      <c r="F15" s="74" t="s">
        <v>323</v>
      </c>
    </row>
    <row r="16" customFormat="false" ht="18" hidden="false" customHeight="true" outlineLevel="0" collapsed="false">
      <c r="A16" s="74" t="s">
        <v>324</v>
      </c>
      <c r="B16" s="74" t="s">
        <v>325</v>
      </c>
      <c r="C16" s="75" t="n">
        <v>375</v>
      </c>
      <c r="D16" s="74" t="s">
        <v>326</v>
      </c>
      <c r="E16" s="74" t="s">
        <v>127</v>
      </c>
      <c r="F16" s="74" t="s">
        <v>327</v>
      </c>
    </row>
    <row r="17" customFormat="false" ht="19.5" hidden="false" customHeight="true" outlineLevel="0" collapsed="false">
      <c r="A17" s="76" t="s">
        <v>328</v>
      </c>
      <c r="B17" s="76"/>
      <c r="C17" s="77" t="n">
        <f aca="false">SUM(C5:C16)</f>
        <v>10726.1</v>
      </c>
      <c r="D17" s="78"/>
      <c r="E17" s="78"/>
      <c r="F17" s="78"/>
    </row>
    <row r="19" customFormat="false" ht="24" hidden="false" customHeight="true" outlineLevel="0" collapsed="false">
      <c r="A19" s="69" t="s">
        <v>329</v>
      </c>
      <c r="B19" s="69"/>
      <c r="C19" s="69"/>
      <c r="D19" s="69"/>
      <c r="E19" s="69"/>
      <c r="F19" s="69"/>
    </row>
    <row r="20" customFormat="false" ht="18" hidden="false" customHeight="true" outlineLevel="0" collapsed="false">
      <c r="A20" s="74" t="s">
        <v>330</v>
      </c>
      <c r="B20" s="74" t="s">
        <v>331</v>
      </c>
      <c r="C20" s="75" t="n">
        <v>165.78</v>
      </c>
      <c r="D20" s="74" t="s">
        <v>227</v>
      </c>
      <c r="E20" s="74" t="s">
        <v>127</v>
      </c>
      <c r="F20" s="74"/>
    </row>
    <row r="21" customFormat="false" ht="18" hidden="false" customHeight="true" outlineLevel="0" collapsed="false">
      <c r="A21" s="70" t="s">
        <v>332</v>
      </c>
      <c r="B21" s="70" t="s">
        <v>84</v>
      </c>
      <c r="C21" s="71" t="n">
        <v>142.84</v>
      </c>
      <c r="D21" s="70" t="s">
        <v>130</v>
      </c>
      <c r="E21" s="70" t="s">
        <v>127</v>
      </c>
      <c r="F21" s="70"/>
    </row>
    <row r="22" customFormat="false" ht="19.5" hidden="false" customHeight="true" outlineLevel="0" collapsed="false">
      <c r="A22" s="76" t="s">
        <v>333</v>
      </c>
      <c r="B22" s="76"/>
      <c r="C22" s="77" t="n">
        <f aca="false">SUM(C20:C21)</f>
        <v>308.62</v>
      </c>
      <c r="D22" s="78"/>
      <c r="E22" s="78"/>
      <c r="F22" s="78"/>
    </row>
    <row r="24" customFormat="false" ht="24" hidden="false" customHeight="true" outlineLevel="0" collapsed="false">
      <c r="A24" s="69" t="s">
        <v>334</v>
      </c>
      <c r="B24" s="69"/>
      <c r="C24" s="69"/>
      <c r="D24" s="69"/>
      <c r="E24" s="69"/>
      <c r="F24" s="69"/>
    </row>
    <row r="25" customFormat="false" ht="18" hidden="false" customHeight="true" outlineLevel="0" collapsed="false">
      <c r="A25" s="72" t="s">
        <v>335</v>
      </c>
      <c r="B25" s="72" t="s">
        <v>308</v>
      </c>
      <c r="C25" s="73" t="n">
        <v>51.23</v>
      </c>
      <c r="D25" s="72" t="s">
        <v>130</v>
      </c>
      <c r="E25" s="72" t="s">
        <v>131</v>
      </c>
      <c r="F25" s="72"/>
    </row>
    <row r="26" customFormat="false" ht="18" hidden="false" customHeight="true" outlineLevel="0" collapsed="false">
      <c r="A26" s="72" t="s">
        <v>336</v>
      </c>
      <c r="B26" s="72" t="s">
        <v>308</v>
      </c>
      <c r="C26" s="73" t="n">
        <v>100</v>
      </c>
      <c r="D26" s="72" t="s">
        <v>130</v>
      </c>
      <c r="E26" s="72" t="s">
        <v>131</v>
      </c>
      <c r="F26" s="72"/>
    </row>
    <row r="27" customFormat="false" ht="18" hidden="false" customHeight="true" outlineLevel="0" collapsed="false">
      <c r="A27" s="70" t="s">
        <v>337</v>
      </c>
      <c r="B27" s="70" t="s">
        <v>338</v>
      </c>
      <c r="C27" s="71" t="n">
        <v>500</v>
      </c>
      <c r="D27" s="70" t="s">
        <v>314</v>
      </c>
      <c r="E27" s="70" t="s">
        <v>127</v>
      </c>
      <c r="F27" s="70"/>
    </row>
    <row r="28" customFormat="false" ht="18" hidden="false" customHeight="true" outlineLevel="0" collapsed="false">
      <c r="A28" s="72" t="s">
        <v>339</v>
      </c>
      <c r="B28" s="72" t="s">
        <v>308</v>
      </c>
      <c r="C28" s="73" t="n">
        <v>24</v>
      </c>
      <c r="D28" s="72" t="s">
        <v>314</v>
      </c>
      <c r="E28" s="72" t="s">
        <v>131</v>
      </c>
      <c r="F28" s="72"/>
    </row>
    <row r="29" customFormat="false" ht="18" hidden="false" customHeight="true" outlineLevel="0" collapsed="false">
      <c r="A29" s="70" t="s">
        <v>340</v>
      </c>
      <c r="B29" s="70" t="s">
        <v>308</v>
      </c>
      <c r="C29" s="71" t="n">
        <v>9</v>
      </c>
      <c r="D29" s="70"/>
      <c r="E29" s="70" t="s">
        <v>127</v>
      </c>
      <c r="F29" s="70"/>
    </row>
    <row r="30" customFormat="false" ht="18" hidden="false" customHeight="true" outlineLevel="0" collapsed="false">
      <c r="A30" s="70" t="s">
        <v>341</v>
      </c>
      <c r="B30" s="70" t="s">
        <v>308</v>
      </c>
      <c r="C30" s="71" t="n">
        <v>140</v>
      </c>
      <c r="D30" s="70" t="s">
        <v>130</v>
      </c>
      <c r="E30" s="70" t="s">
        <v>127</v>
      </c>
      <c r="F30" s="70"/>
    </row>
    <row r="31" customFormat="false" ht="18" hidden="false" customHeight="true" outlineLevel="0" collapsed="false">
      <c r="A31" s="72" t="s">
        <v>342</v>
      </c>
      <c r="B31" s="72" t="s">
        <v>313</v>
      </c>
      <c r="C31" s="73" t="n">
        <v>43</v>
      </c>
      <c r="D31" s="72" t="s">
        <v>314</v>
      </c>
      <c r="E31" s="72" t="s">
        <v>131</v>
      </c>
      <c r="F31" s="72"/>
    </row>
    <row r="32" customFormat="false" ht="18" hidden="false" customHeight="true" outlineLevel="0" collapsed="false">
      <c r="A32" s="72" t="s">
        <v>343</v>
      </c>
      <c r="B32" s="72" t="s">
        <v>308</v>
      </c>
      <c r="C32" s="73" t="n">
        <v>21.31</v>
      </c>
      <c r="D32" s="72" t="s">
        <v>130</v>
      </c>
      <c r="E32" s="72" t="s">
        <v>131</v>
      </c>
      <c r="F32" s="72"/>
    </row>
    <row r="33" customFormat="false" ht="18" hidden="false" customHeight="true" outlineLevel="0" collapsed="false">
      <c r="A33" s="72" t="s">
        <v>344</v>
      </c>
      <c r="B33" s="72" t="s">
        <v>313</v>
      </c>
      <c r="C33" s="73" t="n">
        <v>24</v>
      </c>
      <c r="D33" s="72" t="s">
        <v>314</v>
      </c>
      <c r="E33" s="72" t="s">
        <v>131</v>
      </c>
      <c r="F33" s="72"/>
    </row>
    <row r="34" customFormat="false" ht="18" hidden="false" customHeight="true" outlineLevel="0" collapsed="false">
      <c r="A34" s="72" t="s">
        <v>345</v>
      </c>
      <c r="B34" s="72" t="s">
        <v>346</v>
      </c>
      <c r="C34" s="73" t="n">
        <v>1400</v>
      </c>
      <c r="D34" s="72" t="s">
        <v>314</v>
      </c>
      <c r="E34" s="72" t="s">
        <v>131</v>
      </c>
      <c r="F34" s="72" t="s">
        <v>347</v>
      </c>
    </row>
    <row r="35" customFormat="false" ht="18" hidden="false" customHeight="true" outlineLevel="0" collapsed="false">
      <c r="A35" s="70" t="s">
        <v>348</v>
      </c>
      <c r="B35" s="70" t="s">
        <v>308</v>
      </c>
      <c r="C35" s="71" t="n">
        <v>21.99</v>
      </c>
      <c r="D35" s="70" t="s">
        <v>130</v>
      </c>
      <c r="E35" s="70" t="s">
        <v>127</v>
      </c>
      <c r="F35" s="70"/>
    </row>
    <row r="36" customFormat="false" ht="19.5" hidden="false" customHeight="true" outlineLevel="0" collapsed="false">
      <c r="A36" s="76" t="s">
        <v>349</v>
      </c>
      <c r="B36" s="76"/>
      <c r="C36" s="77" t="n">
        <f aca="false">SUM(C25:C35)</f>
        <v>2334.53</v>
      </c>
      <c r="D36" s="78"/>
      <c r="E36" s="78"/>
      <c r="F36" s="78"/>
    </row>
    <row r="38" customFormat="false" ht="24" hidden="false" customHeight="true" outlineLevel="0" collapsed="false">
      <c r="A38" s="69" t="s">
        <v>350</v>
      </c>
      <c r="B38" s="69"/>
      <c r="C38" s="69"/>
      <c r="D38" s="69"/>
      <c r="E38" s="69"/>
      <c r="F38" s="69"/>
    </row>
    <row r="39" customFormat="false" ht="18" hidden="false" customHeight="true" outlineLevel="0" collapsed="false">
      <c r="A39" s="72" t="s">
        <v>351</v>
      </c>
      <c r="B39" s="72" t="s">
        <v>308</v>
      </c>
      <c r="C39" s="73" t="n">
        <v>60</v>
      </c>
      <c r="D39" s="72" t="s">
        <v>130</v>
      </c>
      <c r="E39" s="72" t="s">
        <v>131</v>
      </c>
      <c r="F39" s="72"/>
    </row>
    <row r="40" customFormat="false" ht="18" hidden="false" customHeight="true" outlineLevel="0" collapsed="false">
      <c r="A40" s="72" t="s">
        <v>352</v>
      </c>
      <c r="B40" s="72" t="s">
        <v>84</v>
      </c>
      <c r="C40" s="73" t="n">
        <v>310</v>
      </c>
      <c r="D40" s="72" t="s">
        <v>314</v>
      </c>
      <c r="E40" s="72" t="s">
        <v>131</v>
      </c>
      <c r="F40" s="72"/>
    </row>
    <row r="41" customFormat="false" ht="18" hidden="false" customHeight="true" outlineLevel="0" collapsed="false">
      <c r="A41" s="72" t="s">
        <v>353</v>
      </c>
      <c r="B41" s="72" t="s">
        <v>84</v>
      </c>
      <c r="C41" s="73" t="n">
        <v>177</v>
      </c>
      <c r="D41" s="72" t="s">
        <v>354</v>
      </c>
      <c r="E41" s="72" t="s">
        <v>131</v>
      </c>
      <c r="F41" s="72"/>
    </row>
    <row r="42" customFormat="false" ht="19.5" hidden="false" customHeight="true" outlineLevel="0" collapsed="false">
      <c r="A42" s="76" t="s">
        <v>355</v>
      </c>
      <c r="B42" s="76"/>
      <c r="C42" s="77" t="n">
        <f aca="false">SUM(C39:C41)</f>
        <v>547</v>
      </c>
      <c r="D42" s="78"/>
      <c r="E42" s="78"/>
      <c r="F42" s="78"/>
    </row>
  </sheetData>
  <mergeCells count="10">
    <mergeCell ref="A1:T1"/>
    <mergeCell ref="A2:T2"/>
    <mergeCell ref="A4:F4"/>
    <mergeCell ref="A17:B17"/>
    <mergeCell ref="A19:F19"/>
    <mergeCell ref="A22:B22"/>
    <mergeCell ref="A24:F24"/>
    <mergeCell ref="A36:B36"/>
    <mergeCell ref="A38:F38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8" min="3" style="1" width="14"/>
    <col collapsed="false" customWidth="true" hidden="false" outlineLevel="0" max="9" min="9" style="1" width="12"/>
    <col collapsed="false" customWidth="true" hidden="false" outlineLevel="0" max="10" min="10" style="1" width="22"/>
  </cols>
  <sheetData>
    <row r="1" customFormat="false" ht="27.75" hidden="false" customHeight="true" outlineLevel="0" collapsed="false">
      <c r="A1" s="2" t="s">
        <v>356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56" t="s">
        <v>357</v>
      </c>
      <c r="B2" s="56"/>
      <c r="C2" s="56"/>
      <c r="D2" s="56"/>
      <c r="E2" s="56"/>
      <c r="F2" s="56"/>
      <c r="G2" s="56"/>
      <c r="H2" s="56"/>
      <c r="I2" s="56"/>
      <c r="J2" s="56"/>
    </row>
    <row r="3" customFormat="false" ht="9.75" hidden="false" customHeight="true" outlineLevel="0" collapsed="false"/>
    <row r="4" customFormat="false" ht="27.75" hidden="false" customHeight="true" outlineLevel="0" collapsed="false">
      <c r="A4" s="17" t="s">
        <v>109</v>
      </c>
      <c r="B4" s="17" t="s">
        <v>110</v>
      </c>
      <c r="C4" s="79" t="s">
        <v>358</v>
      </c>
      <c r="D4" s="79"/>
      <c r="E4" s="79" t="s">
        <v>359</v>
      </c>
      <c r="F4" s="79"/>
      <c r="G4" s="79" t="s">
        <v>360</v>
      </c>
      <c r="H4" s="79"/>
      <c r="I4" s="17" t="s">
        <v>361</v>
      </c>
      <c r="J4" s="17" t="s">
        <v>121</v>
      </c>
    </row>
    <row r="5" customFormat="false" ht="21.75" hidden="false" customHeight="true" outlineLevel="0" collapsed="false">
      <c r="C5" s="80" t="s">
        <v>362</v>
      </c>
      <c r="D5" s="81" t="s">
        <v>363</v>
      </c>
      <c r="E5" s="80" t="s">
        <v>362</v>
      </c>
      <c r="F5" s="81" t="s">
        <v>363</v>
      </c>
      <c r="G5" s="80" t="s">
        <v>362</v>
      </c>
      <c r="H5" s="81" t="s">
        <v>363</v>
      </c>
      <c r="I5" s="78"/>
      <c r="J5" s="17"/>
    </row>
    <row r="6" customFormat="false" ht="18" hidden="false" customHeight="true" outlineLevel="0" collapsed="false">
      <c r="A6" s="70" t="s">
        <v>123</v>
      </c>
      <c r="B6" s="70" t="s">
        <v>82</v>
      </c>
      <c r="C6" s="82" t="n">
        <v>453.19</v>
      </c>
      <c r="D6" s="35"/>
      <c r="E6" s="82" t="n">
        <v>453.19</v>
      </c>
      <c r="F6" s="35"/>
      <c r="G6" s="82" t="n">
        <v>453.19</v>
      </c>
      <c r="H6" s="35"/>
      <c r="I6" s="70" t="s">
        <v>124</v>
      </c>
      <c r="J6" s="70"/>
    </row>
    <row r="7" customFormat="false" ht="18" hidden="false" customHeight="true" outlineLevel="0" collapsed="false">
      <c r="A7" s="83" t="s">
        <v>129</v>
      </c>
      <c r="B7" s="83" t="s">
        <v>82</v>
      </c>
      <c r="C7" s="84" t="n">
        <v>120</v>
      </c>
      <c r="D7" s="35"/>
      <c r="E7" s="84" t="n">
        <v>120</v>
      </c>
      <c r="F7" s="35"/>
      <c r="G7" s="84" t="n">
        <v>120</v>
      </c>
      <c r="H7" s="35"/>
      <c r="I7" s="83" t="s">
        <v>124</v>
      </c>
      <c r="J7" s="83"/>
    </row>
    <row r="8" customFormat="false" ht="18" hidden="false" customHeight="true" outlineLevel="0" collapsed="false">
      <c r="A8" s="70" t="s">
        <v>132</v>
      </c>
      <c r="B8" s="70" t="s">
        <v>82</v>
      </c>
      <c r="C8" s="82" t="n">
        <v>100</v>
      </c>
      <c r="D8" s="35"/>
      <c r="E8" s="82" t="n">
        <v>100</v>
      </c>
      <c r="F8" s="35"/>
      <c r="G8" s="82" t="n">
        <v>100</v>
      </c>
      <c r="H8" s="35"/>
      <c r="I8" s="70" t="s">
        <v>124</v>
      </c>
      <c r="J8" s="70"/>
    </row>
    <row r="9" customFormat="false" ht="18" hidden="false" customHeight="true" outlineLevel="0" collapsed="false">
      <c r="A9" s="83" t="s">
        <v>133</v>
      </c>
      <c r="B9" s="83" t="s">
        <v>82</v>
      </c>
      <c r="C9" s="84" t="n">
        <v>152.45</v>
      </c>
      <c r="D9" s="35"/>
      <c r="E9" s="84" t="n">
        <v>152.45</v>
      </c>
      <c r="F9" s="35"/>
      <c r="G9" s="84" t="n">
        <v>152.45</v>
      </c>
      <c r="H9" s="35"/>
      <c r="I9" s="83" t="s">
        <v>124</v>
      </c>
      <c r="J9" s="83"/>
    </row>
    <row r="10" customFormat="false" ht="18" hidden="false" customHeight="true" outlineLevel="0" collapsed="false">
      <c r="A10" s="70" t="s">
        <v>135</v>
      </c>
      <c r="B10" s="70" t="s">
        <v>82</v>
      </c>
      <c r="C10" s="82" t="n">
        <v>20</v>
      </c>
      <c r="D10" s="35"/>
      <c r="E10" s="82" t="n">
        <v>20</v>
      </c>
      <c r="F10" s="35"/>
      <c r="G10" s="82" t="n">
        <v>20</v>
      </c>
      <c r="H10" s="35"/>
      <c r="I10" s="70" t="s">
        <v>124</v>
      </c>
      <c r="J10" s="70"/>
    </row>
    <row r="11" customFormat="false" ht="18" hidden="false" customHeight="true" outlineLevel="0" collapsed="false">
      <c r="A11" s="83" t="s">
        <v>137</v>
      </c>
      <c r="B11" s="83" t="s">
        <v>82</v>
      </c>
      <c r="C11" s="84" t="n">
        <v>9.99</v>
      </c>
      <c r="D11" s="35"/>
      <c r="E11" s="84" t="n">
        <v>9.99</v>
      </c>
      <c r="F11" s="35"/>
      <c r="G11" s="84" t="n">
        <v>9.99</v>
      </c>
      <c r="H11" s="35"/>
      <c r="I11" s="83" t="s">
        <v>124</v>
      </c>
      <c r="J11" s="83"/>
    </row>
    <row r="12" customFormat="false" ht="18" hidden="false" customHeight="true" outlineLevel="0" collapsed="false">
      <c r="A12" s="70" t="s">
        <v>139</v>
      </c>
      <c r="B12" s="70" t="s">
        <v>82</v>
      </c>
      <c r="C12" s="82" t="n">
        <v>142.84</v>
      </c>
      <c r="D12" s="35"/>
      <c r="E12" s="82" t="n">
        <v>142.84</v>
      </c>
      <c r="F12" s="35"/>
      <c r="G12" s="82" t="n">
        <v>142.84</v>
      </c>
      <c r="H12" s="35"/>
      <c r="I12" s="70" t="s">
        <v>124</v>
      </c>
      <c r="J12" s="70"/>
    </row>
    <row r="13" customFormat="false" ht="18" hidden="false" customHeight="true" outlineLevel="0" collapsed="false">
      <c r="A13" s="83" t="s">
        <v>141</v>
      </c>
      <c r="B13" s="83" t="s">
        <v>82</v>
      </c>
      <c r="C13" s="84" t="n">
        <v>51.23</v>
      </c>
      <c r="D13" s="35"/>
      <c r="E13" s="84" t="n">
        <v>51.23</v>
      </c>
      <c r="F13" s="35"/>
      <c r="G13" s="84" t="n">
        <v>51.23</v>
      </c>
      <c r="H13" s="35"/>
      <c r="I13" s="83" t="s">
        <v>124</v>
      </c>
      <c r="J13" s="83" t="s">
        <v>143</v>
      </c>
    </row>
    <row r="14" customFormat="false" ht="18" hidden="false" customHeight="true" outlineLevel="0" collapsed="false">
      <c r="A14" s="70" t="s">
        <v>144</v>
      </c>
      <c r="B14" s="70" t="s">
        <v>82</v>
      </c>
      <c r="C14" s="82" t="n">
        <v>100</v>
      </c>
      <c r="D14" s="35"/>
      <c r="E14" s="82" t="n">
        <v>100</v>
      </c>
      <c r="F14" s="35"/>
      <c r="G14" s="82" t="n">
        <v>100</v>
      </c>
      <c r="H14" s="35"/>
      <c r="I14" s="70" t="s">
        <v>124</v>
      </c>
      <c r="J14" s="70"/>
    </row>
    <row r="15" customFormat="false" ht="18" hidden="false" customHeight="true" outlineLevel="0" collapsed="false">
      <c r="A15" s="83" t="s">
        <v>145</v>
      </c>
      <c r="B15" s="83" t="s">
        <v>82</v>
      </c>
      <c r="C15" s="84" t="n">
        <v>140</v>
      </c>
      <c r="D15" s="35"/>
      <c r="E15" s="84" t="n">
        <v>140</v>
      </c>
      <c r="F15" s="35"/>
      <c r="G15" s="84" t="n">
        <v>140</v>
      </c>
      <c r="H15" s="35"/>
      <c r="I15" s="83" t="s">
        <v>124</v>
      </c>
      <c r="J15" s="83"/>
    </row>
    <row r="16" customFormat="false" ht="18" hidden="false" customHeight="true" outlineLevel="0" collapsed="false">
      <c r="A16" s="70" t="s">
        <v>147</v>
      </c>
      <c r="B16" s="70" t="s">
        <v>82</v>
      </c>
      <c r="C16" s="82" t="n">
        <v>21.31</v>
      </c>
      <c r="D16" s="35"/>
      <c r="E16" s="82" t="n">
        <v>21.31</v>
      </c>
      <c r="F16" s="35"/>
      <c r="G16" s="82" t="n">
        <v>21.31</v>
      </c>
      <c r="H16" s="35"/>
      <c r="I16" s="70" t="s">
        <v>124</v>
      </c>
      <c r="J16" s="70"/>
    </row>
    <row r="17" customFormat="false" ht="18" hidden="false" customHeight="true" outlineLevel="0" collapsed="false">
      <c r="A17" s="83" t="s">
        <v>149</v>
      </c>
      <c r="B17" s="83" t="s">
        <v>82</v>
      </c>
      <c r="C17" s="84" t="n">
        <v>60</v>
      </c>
      <c r="D17" s="35"/>
      <c r="E17" s="84" t="n">
        <v>60</v>
      </c>
      <c r="F17" s="35"/>
      <c r="G17" s="84" t="n">
        <v>60</v>
      </c>
      <c r="H17" s="35"/>
      <c r="I17" s="83" t="s">
        <v>124</v>
      </c>
      <c r="J17" s="83"/>
    </row>
    <row r="18" customFormat="false" ht="18" hidden="false" customHeight="true" outlineLevel="0" collapsed="false">
      <c r="A18" s="70" t="s">
        <v>151</v>
      </c>
      <c r="B18" s="70" t="s">
        <v>82</v>
      </c>
      <c r="C18" s="82" t="n">
        <v>99</v>
      </c>
      <c r="D18" s="35"/>
      <c r="E18" s="82" t="n">
        <v>99</v>
      </c>
      <c r="F18" s="35"/>
      <c r="G18" s="82" t="n">
        <v>99</v>
      </c>
      <c r="H18" s="35"/>
      <c r="I18" s="70" t="s">
        <v>124</v>
      </c>
      <c r="J18" s="70"/>
    </row>
    <row r="19" customFormat="false" ht="18" hidden="false" customHeight="true" outlineLevel="0" collapsed="false">
      <c r="A19" s="83" t="s">
        <v>152</v>
      </c>
      <c r="B19" s="83" t="s">
        <v>82</v>
      </c>
      <c r="C19" s="84" t="n">
        <v>269</v>
      </c>
      <c r="D19" s="35"/>
      <c r="E19" s="84" t="n">
        <v>269</v>
      </c>
      <c r="F19" s="35"/>
      <c r="G19" s="84" t="n">
        <v>269</v>
      </c>
      <c r="H19" s="35"/>
      <c r="I19" s="83" t="s">
        <v>124</v>
      </c>
      <c r="J19" s="83"/>
    </row>
    <row r="20" customFormat="false" ht="18" hidden="false" customHeight="true" outlineLevel="0" collapsed="false">
      <c r="A20" s="70" t="s">
        <v>153</v>
      </c>
      <c r="B20" s="70" t="s">
        <v>82</v>
      </c>
      <c r="C20" s="82" t="n">
        <v>21.99</v>
      </c>
      <c r="D20" s="35"/>
      <c r="E20" s="82" t="n">
        <v>21.99</v>
      </c>
      <c r="F20" s="35"/>
      <c r="G20" s="82" t="n">
        <v>21.99</v>
      </c>
      <c r="H20" s="35"/>
      <c r="I20" s="70" t="s">
        <v>124</v>
      </c>
      <c r="J20" s="70" t="s">
        <v>155</v>
      </c>
    </row>
    <row r="21" customFormat="false" ht="18" hidden="false" customHeight="true" outlineLevel="0" collapsed="false">
      <c r="A21" s="83" t="s">
        <v>156</v>
      </c>
      <c r="B21" s="83" t="s">
        <v>82</v>
      </c>
      <c r="C21" s="84" t="n">
        <v>25</v>
      </c>
      <c r="D21" s="35"/>
      <c r="E21" s="84" t="n">
        <v>25</v>
      </c>
      <c r="F21" s="35"/>
      <c r="G21" s="84" t="n">
        <v>25</v>
      </c>
      <c r="H21" s="35"/>
      <c r="I21" s="83" t="s">
        <v>124</v>
      </c>
      <c r="J21" s="83"/>
    </row>
    <row r="22" customFormat="false" ht="18" hidden="false" customHeight="true" outlineLevel="0" collapsed="false">
      <c r="A22" s="70" t="s">
        <v>157</v>
      </c>
      <c r="B22" s="70" t="s">
        <v>82</v>
      </c>
      <c r="C22" s="82" t="n">
        <v>19.95</v>
      </c>
      <c r="D22" s="35"/>
      <c r="E22" s="82" t="n">
        <v>19.95</v>
      </c>
      <c r="F22" s="35"/>
      <c r="G22" s="82" t="n">
        <v>19.95</v>
      </c>
      <c r="H22" s="35"/>
      <c r="I22" s="70" t="s">
        <v>124</v>
      </c>
      <c r="J22" s="70"/>
    </row>
    <row r="23" customFormat="false" ht="18" hidden="false" customHeight="true" outlineLevel="0" collapsed="false">
      <c r="A23" s="83" t="s">
        <v>158</v>
      </c>
      <c r="B23" s="83" t="s">
        <v>82</v>
      </c>
      <c r="C23" s="84" t="n">
        <v>50</v>
      </c>
      <c r="D23" s="35"/>
      <c r="E23" s="84" t="n">
        <v>50</v>
      </c>
      <c r="F23" s="35"/>
      <c r="G23" s="84" t="n">
        <v>50</v>
      </c>
      <c r="H23" s="35"/>
      <c r="I23" s="83" t="s">
        <v>124</v>
      </c>
      <c r="J23" s="83"/>
    </row>
    <row r="24" customFormat="false" ht="18" hidden="false" customHeight="true" outlineLevel="0" collapsed="false">
      <c r="A24" s="70" t="s">
        <v>159</v>
      </c>
      <c r="B24" s="70" t="s">
        <v>82</v>
      </c>
      <c r="C24" s="82" t="n">
        <v>36.23</v>
      </c>
      <c r="D24" s="35"/>
      <c r="E24" s="82" t="n">
        <v>36.23</v>
      </c>
      <c r="F24" s="35"/>
      <c r="G24" s="82" t="n">
        <v>36.23</v>
      </c>
      <c r="H24" s="35"/>
      <c r="I24" s="70" t="s">
        <v>124</v>
      </c>
      <c r="J24" s="70"/>
    </row>
    <row r="25" customFormat="false" ht="18" hidden="false" customHeight="true" outlineLevel="0" collapsed="false">
      <c r="A25" s="83" t="s">
        <v>160</v>
      </c>
      <c r="B25" s="83" t="s">
        <v>82</v>
      </c>
      <c r="C25" s="84" t="n">
        <v>72</v>
      </c>
      <c r="D25" s="35"/>
      <c r="E25" s="84" t="n">
        <v>72</v>
      </c>
      <c r="F25" s="35"/>
      <c r="G25" s="84" t="n">
        <v>72</v>
      </c>
      <c r="H25" s="35"/>
      <c r="I25" s="83" t="s">
        <v>124</v>
      </c>
      <c r="J25" s="83" t="s">
        <v>161</v>
      </c>
    </row>
    <row r="26" customFormat="false" ht="18" hidden="false" customHeight="true" outlineLevel="0" collapsed="false">
      <c r="A26" s="70" t="s">
        <v>162</v>
      </c>
      <c r="B26" s="70" t="s">
        <v>82</v>
      </c>
      <c r="C26" s="82" t="n">
        <v>20</v>
      </c>
      <c r="D26" s="35"/>
      <c r="E26" s="82" t="n">
        <v>20</v>
      </c>
      <c r="F26" s="35"/>
      <c r="G26" s="82" t="n">
        <v>20</v>
      </c>
      <c r="H26" s="35"/>
      <c r="I26" s="70" t="s">
        <v>124</v>
      </c>
      <c r="J26" s="70"/>
    </row>
    <row r="27" customFormat="false" ht="18" hidden="false" customHeight="true" outlineLevel="0" collapsed="false">
      <c r="A27" s="83" t="s">
        <v>163</v>
      </c>
      <c r="B27" s="83" t="s">
        <v>82</v>
      </c>
      <c r="C27" s="84" t="n">
        <v>19.95</v>
      </c>
      <c r="D27" s="35"/>
      <c r="E27" s="84" t="n">
        <v>19.95</v>
      </c>
      <c r="F27" s="35"/>
      <c r="G27" s="84" t="n">
        <v>19.95</v>
      </c>
      <c r="H27" s="35"/>
      <c r="I27" s="83" t="s">
        <v>124</v>
      </c>
      <c r="J27" s="83"/>
    </row>
    <row r="28" customFormat="false" ht="18" hidden="false" customHeight="true" outlineLevel="0" collapsed="false">
      <c r="A28" s="70" t="s">
        <v>164</v>
      </c>
      <c r="B28" s="70" t="s">
        <v>82</v>
      </c>
      <c r="C28" s="82" t="n">
        <v>9.99</v>
      </c>
      <c r="D28" s="35"/>
      <c r="E28" s="82" t="n">
        <v>9.99</v>
      </c>
      <c r="F28" s="35"/>
      <c r="G28" s="82" t="n">
        <v>9.99</v>
      </c>
      <c r="H28" s="35"/>
      <c r="I28" s="70" t="s">
        <v>124</v>
      </c>
      <c r="J28" s="70"/>
    </row>
    <row r="29" customFormat="false" ht="18" hidden="false" customHeight="true" outlineLevel="0" collapsed="false">
      <c r="A29" s="83" t="s">
        <v>165</v>
      </c>
      <c r="B29" s="83" t="s">
        <v>82</v>
      </c>
      <c r="C29" s="84" t="n">
        <v>20</v>
      </c>
      <c r="D29" s="35"/>
      <c r="E29" s="84" t="n">
        <v>20</v>
      </c>
      <c r="F29" s="35"/>
      <c r="G29" s="84" t="n">
        <v>20</v>
      </c>
      <c r="H29" s="35"/>
      <c r="I29" s="83" t="s">
        <v>124</v>
      </c>
      <c r="J29" s="83" t="s">
        <v>167</v>
      </c>
    </row>
    <row r="30" customFormat="false" ht="18" hidden="false" customHeight="true" outlineLevel="0" collapsed="false">
      <c r="A30" s="70" t="s">
        <v>168</v>
      </c>
      <c r="B30" s="70" t="s">
        <v>82</v>
      </c>
      <c r="C30" s="82" t="n">
        <v>9.99</v>
      </c>
      <c r="D30" s="35"/>
      <c r="E30" s="82" t="n">
        <v>9.99</v>
      </c>
      <c r="F30" s="35"/>
      <c r="G30" s="82" t="n">
        <v>9.99</v>
      </c>
      <c r="H30" s="35"/>
      <c r="I30" s="70" t="s">
        <v>124</v>
      </c>
      <c r="J30" s="70" t="s">
        <v>167</v>
      </c>
    </row>
    <row r="31" customFormat="false" ht="18" hidden="false" customHeight="true" outlineLevel="0" collapsed="false">
      <c r="A31" s="83" t="s">
        <v>169</v>
      </c>
      <c r="B31" s="83" t="s">
        <v>82</v>
      </c>
      <c r="C31" s="84" t="n">
        <v>34</v>
      </c>
      <c r="D31" s="35"/>
      <c r="E31" s="84" t="n">
        <v>34</v>
      </c>
      <c r="F31" s="35"/>
      <c r="G31" s="84" t="n">
        <v>34</v>
      </c>
      <c r="H31" s="35"/>
      <c r="I31" s="83" t="s">
        <v>124</v>
      </c>
      <c r="J31" s="83" t="s">
        <v>170</v>
      </c>
    </row>
    <row r="32" customFormat="false" ht="18" hidden="false" customHeight="true" outlineLevel="0" collapsed="false">
      <c r="A32" s="70" t="s">
        <v>171</v>
      </c>
      <c r="B32" s="70" t="s">
        <v>82</v>
      </c>
      <c r="C32" s="82" t="n">
        <v>24</v>
      </c>
      <c r="D32" s="35"/>
      <c r="E32" s="82" t="n">
        <v>24</v>
      </c>
      <c r="F32" s="35"/>
      <c r="G32" s="82" t="n">
        <v>24</v>
      </c>
      <c r="H32" s="35"/>
      <c r="I32" s="70" t="s">
        <v>124</v>
      </c>
      <c r="J32" s="70"/>
    </row>
    <row r="33" customFormat="false" ht="18" hidden="false" customHeight="true" outlineLevel="0" collapsed="false">
      <c r="A33" s="83" t="s">
        <v>173</v>
      </c>
      <c r="B33" s="83" t="s">
        <v>82</v>
      </c>
      <c r="C33" s="84" t="n">
        <v>9</v>
      </c>
      <c r="D33" s="35"/>
      <c r="E33" s="84" t="n">
        <v>9</v>
      </c>
      <c r="F33" s="35"/>
      <c r="G33" s="84" t="n">
        <v>9</v>
      </c>
      <c r="H33" s="35"/>
      <c r="I33" s="83" t="s">
        <v>124</v>
      </c>
      <c r="J33" s="83"/>
    </row>
    <row r="34" customFormat="false" ht="18" hidden="false" customHeight="true" outlineLevel="0" collapsed="false">
      <c r="A34" s="70" t="s">
        <v>174</v>
      </c>
      <c r="B34" s="70" t="s">
        <v>82</v>
      </c>
      <c r="C34" s="82" t="n">
        <v>20</v>
      </c>
      <c r="D34" s="35"/>
      <c r="E34" s="82" t="n">
        <v>20</v>
      </c>
      <c r="F34" s="35"/>
      <c r="G34" s="82" t="n">
        <v>20</v>
      </c>
      <c r="H34" s="35"/>
      <c r="I34" s="70" t="s">
        <v>124</v>
      </c>
      <c r="J34" s="70"/>
    </row>
    <row r="35" customFormat="false" ht="18" hidden="false" customHeight="true" outlineLevel="0" collapsed="false">
      <c r="A35" s="83" t="s">
        <v>176</v>
      </c>
      <c r="B35" s="83" t="s">
        <v>84</v>
      </c>
      <c r="C35" s="84" t="n">
        <v>177</v>
      </c>
      <c r="D35" s="35"/>
      <c r="E35" s="84" t="n">
        <v>177</v>
      </c>
      <c r="F35" s="35"/>
      <c r="G35" s="84" t="n">
        <v>177</v>
      </c>
      <c r="H35" s="35"/>
      <c r="I35" s="83" t="s">
        <v>124</v>
      </c>
      <c r="J35" s="83"/>
    </row>
    <row r="36" customFormat="false" ht="18" hidden="false" customHeight="true" outlineLevel="0" collapsed="false">
      <c r="A36" s="70" t="s">
        <v>139</v>
      </c>
      <c r="B36" s="70" t="s">
        <v>84</v>
      </c>
      <c r="C36" s="82" t="n">
        <v>142.84</v>
      </c>
      <c r="D36" s="35"/>
      <c r="E36" s="82" t="n">
        <v>142.84</v>
      </c>
      <c r="F36" s="35"/>
      <c r="G36" s="82" t="n">
        <v>142.84</v>
      </c>
      <c r="H36" s="35"/>
      <c r="I36" s="70" t="s">
        <v>124</v>
      </c>
      <c r="J36" s="70" t="s">
        <v>179</v>
      </c>
    </row>
    <row r="37" customFormat="false" ht="18" hidden="false" customHeight="true" outlineLevel="0" collapsed="false">
      <c r="A37" s="83" t="s">
        <v>181</v>
      </c>
      <c r="B37" s="83" t="s">
        <v>86</v>
      </c>
      <c r="C37" s="84" t="n">
        <v>2400</v>
      </c>
      <c r="D37" s="35"/>
      <c r="E37" s="84" t="n">
        <v>2400</v>
      </c>
      <c r="F37" s="35"/>
      <c r="G37" s="84" t="n">
        <v>2400</v>
      </c>
      <c r="H37" s="35"/>
      <c r="I37" s="83" t="s">
        <v>124</v>
      </c>
      <c r="J37" s="83" t="s">
        <v>182</v>
      </c>
    </row>
    <row r="38" customFormat="false" ht="18" hidden="false" customHeight="true" outlineLevel="0" collapsed="false">
      <c r="A38" s="70" t="s">
        <v>183</v>
      </c>
      <c r="B38" s="70" t="s">
        <v>86</v>
      </c>
      <c r="C38" s="82" t="n">
        <v>1000</v>
      </c>
      <c r="D38" s="35"/>
      <c r="E38" s="82" t="n">
        <v>1000</v>
      </c>
      <c r="F38" s="35"/>
      <c r="G38" s="82" t="n">
        <v>1000</v>
      </c>
      <c r="H38" s="35"/>
      <c r="I38" s="70" t="s">
        <v>124</v>
      </c>
      <c r="J38" s="70"/>
    </row>
    <row r="39" customFormat="false" ht="18" hidden="false" customHeight="true" outlineLevel="0" collapsed="false">
      <c r="A39" s="83" t="s">
        <v>184</v>
      </c>
      <c r="B39" s="83" t="s">
        <v>86</v>
      </c>
      <c r="C39" s="84" t="n">
        <v>500</v>
      </c>
      <c r="D39" s="35"/>
      <c r="E39" s="84" t="n">
        <v>500</v>
      </c>
      <c r="F39" s="35"/>
      <c r="G39" s="84" t="n">
        <v>500</v>
      </c>
      <c r="H39" s="35"/>
      <c r="I39" s="83" t="s">
        <v>124</v>
      </c>
      <c r="J39" s="83"/>
    </row>
    <row r="40" customFormat="false" ht="18" hidden="false" customHeight="true" outlineLevel="0" collapsed="false">
      <c r="A40" s="70" t="s">
        <v>185</v>
      </c>
      <c r="B40" s="70" t="s">
        <v>86</v>
      </c>
      <c r="C40" s="82" t="n">
        <v>500</v>
      </c>
      <c r="D40" s="35"/>
      <c r="E40" s="82" t="n">
        <v>500</v>
      </c>
      <c r="F40" s="35"/>
      <c r="G40" s="82" t="n">
        <v>500</v>
      </c>
      <c r="H40" s="35"/>
      <c r="I40" s="70" t="s">
        <v>124</v>
      </c>
      <c r="J40" s="70" t="s">
        <v>186</v>
      </c>
    </row>
    <row r="41" customFormat="false" ht="18" hidden="false" customHeight="true" outlineLevel="0" collapsed="false">
      <c r="A41" s="83" t="s">
        <v>188</v>
      </c>
      <c r="B41" s="83" t="s">
        <v>88</v>
      </c>
      <c r="C41" s="84" t="n">
        <v>2500</v>
      </c>
      <c r="D41" s="35"/>
      <c r="E41" s="84" t="n">
        <v>2500</v>
      </c>
      <c r="F41" s="35"/>
      <c r="G41" s="84" t="n">
        <v>2500</v>
      </c>
      <c r="H41" s="35"/>
      <c r="I41" s="83" t="s">
        <v>124</v>
      </c>
      <c r="J41" s="83" t="s">
        <v>189</v>
      </c>
    </row>
    <row r="42" customFormat="false" ht="18" hidden="false" customHeight="true" outlineLevel="0" collapsed="false">
      <c r="A42" s="70" t="s">
        <v>190</v>
      </c>
      <c r="B42" s="70" t="s">
        <v>88</v>
      </c>
      <c r="C42" s="82" t="n">
        <v>0</v>
      </c>
      <c r="D42" s="35"/>
      <c r="E42" s="82" t="n">
        <v>0</v>
      </c>
      <c r="F42" s="35"/>
      <c r="G42" s="82" t="n">
        <v>0</v>
      </c>
      <c r="H42" s="35"/>
      <c r="I42" s="70" t="s">
        <v>191</v>
      </c>
      <c r="J42" s="70" t="s">
        <v>193</v>
      </c>
    </row>
    <row r="43" customFormat="false" ht="18" hidden="false" customHeight="true" outlineLevel="0" collapsed="false">
      <c r="A43" s="83" t="s">
        <v>101</v>
      </c>
      <c r="B43" s="83" t="s">
        <v>88</v>
      </c>
      <c r="C43" s="84" t="n">
        <v>220</v>
      </c>
      <c r="D43" s="35"/>
      <c r="E43" s="84" t="n">
        <v>220</v>
      </c>
      <c r="F43" s="35"/>
      <c r="G43" s="84" t="n">
        <v>220</v>
      </c>
      <c r="H43" s="35"/>
      <c r="I43" s="83" t="s">
        <v>124</v>
      </c>
      <c r="J43" s="83" t="s">
        <v>161</v>
      </c>
    </row>
    <row r="44" customFormat="false" ht="18" hidden="false" customHeight="true" outlineLevel="0" collapsed="false">
      <c r="A44" s="70" t="s">
        <v>195</v>
      </c>
      <c r="B44" s="70" t="s">
        <v>90</v>
      </c>
      <c r="C44" s="82" t="n">
        <v>200</v>
      </c>
      <c r="D44" s="35"/>
      <c r="E44" s="82" t="n">
        <v>200</v>
      </c>
      <c r="F44" s="35"/>
      <c r="G44" s="82" t="n">
        <v>200</v>
      </c>
      <c r="H44" s="35"/>
      <c r="I44" s="70" t="s">
        <v>124</v>
      </c>
      <c r="J44" s="70"/>
    </row>
    <row r="45" customFormat="false" ht="18" hidden="false" customHeight="true" outlineLevel="0" collapsed="false">
      <c r="A45" s="83" t="s">
        <v>196</v>
      </c>
      <c r="B45" s="83" t="s">
        <v>90</v>
      </c>
      <c r="C45" s="84" t="n">
        <v>43</v>
      </c>
      <c r="D45" s="35"/>
      <c r="E45" s="84" t="n">
        <v>43</v>
      </c>
      <c r="F45" s="35"/>
      <c r="G45" s="84" t="n">
        <v>43</v>
      </c>
      <c r="H45" s="35"/>
      <c r="I45" s="83" t="s">
        <v>124</v>
      </c>
      <c r="J45" s="83"/>
    </row>
    <row r="46" customFormat="false" ht="18" hidden="false" customHeight="true" outlineLevel="0" collapsed="false">
      <c r="A46" s="70" t="s">
        <v>197</v>
      </c>
      <c r="B46" s="70" t="s">
        <v>90</v>
      </c>
      <c r="C46" s="82" t="n">
        <v>24</v>
      </c>
      <c r="D46" s="35"/>
      <c r="E46" s="82" t="n">
        <v>24</v>
      </c>
      <c r="F46" s="35"/>
      <c r="G46" s="82" t="n">
        <v>24</v>
      </c>
      <c r="H46" s="35"/>
      <c r="I46" s="70" t="s">
        <v>124</v>
      </c>
      <c r="J46" s="70"/>
    </row>
    <row r="47" customFormat="false" ht="18" hidden="false" customHeight="true" outlineLevel="0" collapsed="false">
      <c r="A47" s="83" t="s">
        <v>198</v>
      </c>
      <c r="B47" s="83" t="s">
        <v>90</v>
      </c>
      <c r="C47" s="84" t="n">
        <v>65</v>
      </c>
      <c r="D47" s="35"/>
      <c r="E47" s="84" t="n">
        <v>65</v>
      </c>
      <c r="F47" s="35"/>
      <c r="G47" s="84" t="n">
        <v>65</v>
      </c>
      <c r="H47" s="35"/>
      <c r="I47" s="83" t="s">
        <v>124</v>
      </c>
      <c r="J47" s="83"/>
    </row>
    <row r="48" customFormat="false" ht="18" hidden="false" customHeight="true" outlineLevel="0" collapsed="false">
      <c r="A48" s="70" t="s">
        <v>200</v>
      </c>
      <c r="B48" s="70" t="s">
        <v>95</v>
      </c>
      <c r="C48" s="82" t="n">
        <v>25</v>
      </c>
      <c r="D48" s="35"/>
      <c r="E48" s="82" t="n">
        <v>25</v>
      </c>
      <c r="F48" s="35"/>
      <c r="G48" s="82" t="n">
        <v>25</v>
      </c>
      <c r="H48" s="35"/>
      <c r="I48" s="70" t="s">
        <v>124</v>
      </c>
      <c r="J48" s="70" t="s">
        <v>201</v>
      </c>
    </row>
    <row r="49" customFormat="false" ht="18" hidden="false" customHeight="true" outlineLevel="0" collapsed="false">
      <c r="A49" s="83" t="s">
        <v>202</v>
      </c>
      <c r="B49" s="83" t="s">
        <v>95</v>
      </c>
      <c r="C49" s="84" t="n">
        <v>300</v>
      </c>
      <c r="D49" s="35"/>
      <c r="E49" s="84" t="n">
        <v>300</v>
      </c>
      <c r="F49" s="35"/>
      <c r="G49" s="84" t="n">
        <v>300</v>
      </c>
      <c r="H49" s="35"/>
      <c r="I49" s="83" t="s">
        <v>124</v>
      </c>
      <c r="J49" s="83"/>
    </row>
    <row r="50" customFormat="false" ht="18" hidden="false" customHeight="true" outlineLevel="0" collapsed="false">
      <c r="A50" s="70" t="s">
        <v>204</v>
      </c>
      <c r="B50" s="70" t="s">
        <v>205</v>
      </c>
      <c r="C50" s="82" t="n">
        <v>1400</v>
      </c>
      <c r="D50" s="35"/>
      <c r="E50" s="82" t="n">
        <v>1400</v>
      </c>
      <c r="F50" s="35"/>
      <c r="G50" s="82" t="n">
        <v>1400</v>
      </c>
      <c r="H50" s="35"/>
      <c r="I50" s="70" t="s">
        <v>206</v>
      </c>
      <c r="J50" s="70" t="s">
        <v>207</v>
      </c>
    </row>
    <row r="51" customFormat="false" ht="18" hidden="false" customHeight="true" outlineLevel="0" collapsed="false">
      <c r="A51" s="83" t="s">
        <v>208</v>
      </c>
      <c r="B51" s="83" t="s">
        <v>205</v>
      </c>
      <c r="C51" s="84" t="n">
        <v>1397</v>
      </c>
      <c r="D51" s="35"/>
      <c r="E51" s="84" t="n">
        <v>0</v>
      </c>
      <c r="F51" s="35"/>
      <c r="G51" s="84" t="n">
        <v>0</v>
      </c>
      <c r="H51" s="35"/>
      <c r="I51" s="83" t="s">
        <v>191</v>
      </c>
      <c r="J51" s="83" t="s">
        <v>209</v>
      </c>
    </row>
    <row r="52" customFormat="false" ht="18" hidden="false" customHeight="true" outlineLevel="0" collapsed="false">
      <c r="A52" s="70" t="s">
        <v>210</v>
      </c>
      <c r="B52" s="70" t="s">
        <v>205</v>
      </c>
      <c r="C52" s="82" t="n">
        <v>500</v>
      </c>
      <c r="D52" s="35"/>
      <c r="E52" s="82" t="n">
        <v>500</v>
      </c>
      <c r="F52" s="35"/>
      <c r="G52" s="82" t="n">
        <v>500</v>
      </c>
      <c r="H52" s="35"/>
      <c r="I52" s="70" t="s">
        <v>124</v>
      </c>
      <c r="J52" s="70"/>
    </row>
    <row r="53" customFormat="false" ht="18" hidden="false" customHeight="true" outlineLevel="0" collapsed="false">
      <c r="A53" s="83" t="s">
        <v>212</v>
      </c>
      <c r="B53" s="83" t="s">
        <v>93</v>
      </c>
      <c r="C53" s="84" t="n">
        <v>450</v>
      </c>
      <c r="D53" s="35"/>
      <c r="E53" s="84" t="n">
        <v>450</v>
      </c>
      <c r="F53" s="35"/>
      <c r="G53" s="84" t="n">
        <v>450</v>
      </c>
      <c r="H53" s="35"/>
      <c r="I53" s="83" t="s">
        <v>124</v>
      </c>
      <c r="J53" s="83"/>
    </row>
    <row r="54" customFormat="false" ht="18" hidden="false" customHeight="true" outlineLevel="0" collapsed="false">
      <c r="A54" s="70" t="s">
        <v>213</v>
      </c>
      <c r="B54" s="70" t="s">
        <v>93</v>
      </c>
      <c r="C54" s="82" t="n">
        <v>300</v>
      </c>
      <c r="D54" s="35"/>
      <c r="E54" s="82" t="n">
        <v>300</v>
      </c>
      <c r="F54" s="35"/>
      <c r="G54" s="82" t="n">
        <v>300</v>
      </c>
      <c r="H54" s="35"/>
      <c r="I54" s="70" t="s">
        <v>124</v>
      </c>
      <c r="J54" s="70"/>
    </row>
    <row r="55" customFormat="false" ht="18" hidden="false" customHeight="true" outlineLevel="0" collapsed="false">
      <c r="A55" s="83" t="s">
        <v>214</v>
      </c>
      <c r="B55" s="83" t="s">
        <v>93</v>
      </c>
      <c r="C55" s="84" t="n">
        <v>150</v>
      </c>
      <c r="D55" s="35"/>
      <c r="E55" s="84" t="n">
        <v>150</v>
      </c>
      <c r="F55" s="35"/>
      <c r="G55" s="84" t="n">
        <v>150</v>
      </c>
      <c r="H55" s="35"/>
      <c r="I55" s="83" t="s">
        <v>124</v>
      </c>
      <c r="J55" s="83" t="s">
        <v>182</v>
      </c>
    </row>
    <row r="56" customFormat="false" ht="18" hidden="false" customHeight="true" outlineLevel="0" collapsed="false">
      <c r="A56" s="70" t="s">
        <v>216</v>
      </c>
      <c r="B56" s="70" t="s">
        <v>217</v>
      </c>
      <c r="C56" s="82" t="n">
        <v>336</v>
      </c>
      <c r="D56" s="35"/>
      <c r="E56" s="82" t="n">
        <v>336</v>
      </c>
      <c r="F56" s="35"/>
      <c r="G56" s="82" t="n">
        <v>336</v>
      </c>
      <c r="H56" s="35"/>
      <c r="I56" s="70" t="s">
        <v>206</v>
      </c>
      <c r="J56" s="70" t="s">
        <v>218</v>
      </c>
    </row>
    <row r="57" customFormat="false" ht="18" hidden="false" customHeight="true" outlineLevel="0" collapsed="false">
      <c r="A57" s="83" t="s">
        <v>222</v>
      </c>
      <c r="B57" s="83" t="s">
        <v>83</v>
      </c>
      <c r="C57" s="84" t="n">
        <v>8700</v>
      </c>
      <c r="D57" s="35"/>
      <c r="E57" s="84" t="n">
        <v>8700</v>
      </c>
      <c r="F57" s="35"/>
      <c r="G57" s="84" t="n">
        <v>8700</v>
      </c>
      <c r="H57" s="35"/>
      <c r="I57" s="83" t="s">
        <v>124</v>
      </c>
      <c r="J57" s="83" t="s">
        <v>223</v>
      </c>
    </row>
    <row r="58" customFormat="false" ht="18" hidden="false" customHeight="true" outlineLevel="0" collapsed="false">
      <c r="A58" s="74" t="s">
        <v>224</v>
      </c>
      <c r="B58" s="74" t="s">
        <v>85</v>
      </c>
      <c r="C58" s="85" t="n">
        <v>300</v>
      </c>
      <c r="D58" s="35"/>
      <c r="E58" s="85" t="n">
        <v>300</v>
      </c>
      <c r="F58" s="35"/>
      <c r="G58" s="85" t="n">
        <v>300</v>
      </c>
      <c r="H58" s="35"/>
      <c r="I58" s="74" t="s">
        <v>124</v>
      </c>
      <c r="J58" s="74" t="s">
        <v>223</v>
      </c>
    </row>
    <row r="59" customFormat="false" ht="18" hidden="false" customHeight="true" outlineLevel="0" collapsed="false">
      <c r="A59" s="83" t="s">
        <v>225</v>
      </c>
      <c r="B59" s="83" t="s">
        <v>85</v>
      </c>
      <c r="C59" s="84" t="n">
        <v>165.78</v>
      </c>
      <c r="D59" s="35"/>
      <c r="E59" s="84" t="n">
        <v>165.78</v>
      </c>
      <c r="F59" s="35"/>
      <c r="G59" s="84" t="n">
        <v>165.78</v>
      </c>
      <c r="H59" s="35"/>
      <c r="I59" s="83" t="s">
        <v>124</v>
      </c>
      <c r="J59" s="83"/>
    </row>
    <row r="60" customFormat="false" ht="18" hidden="false" customHeight="true" outlineLevel="0" collapsed="false">
      <c r="A60" s="74" t="s">
        <v>101</v>
      </c>
      <c r="B60" s="74" t="s">
        <v>83</v>
      </c>
      <c r="C60" s="85" t="n">
        <v>220</v>
      </c>
      <c r="D60" s="35"/>
      <c r="E60" s="85" t="n">
        <v>220</v>
      </c>
      <c r="F60" s="35"/>
      <c r="G60" s="85" t="n">
        <v>220</v>
      </c>
      <c r="H60" s="35"/>
      <c r="I60" s="74" t="s">
        <v>124</v>
      </c>
      <c r="J60" s="74" t="s">
        <v>161</v>
      </c>
    </row>
    <row r="61" customFormat="false" ht="18" hidden="false" customHeight="true" outlineLevel="0" collapsed="false">
      <c r="A61" s="83" t="s">
        <v>229</v>
      </c>
      <c r="B61" s="83" t="s">
        <v>87</v>
      </c>
      <c r="C61" s="84" t="n">
        <v>200</v>
      </c>
      <c r="D61" s="35"/>
      <c r="E61" s="84" t="n">
        <v>200</v>
      </c>
      <c r="F61" s="35"/>
      <c r="G61" s="84" t="n">
        <v>200</v>
      </c>
      <c r="H61" s="35"/>
      <c r="I61" s="83" t="s">
        <v>230</v>
      </c>
      <c r="J61" s="83" t="s">
        <v>231</v>
      </c>
    </row>
    <row r="62" customFormat="false" ht="18" hidden="false" customHeight="true" outlineLevel="0" collapsed="false">
      <c r="A62" s="74" t="s">
        <v>232</v>
      </c>
      <c r="B62" s="74" t="s">
        <v>87</v>
      </c>
      <c r="C62" s="85" t="n">
        <v>125</v>
      </c>
      <c r="D62" s="35"/>
      <c r="E62" s="85" t="n">
        <v>125</v>
      </c>
      <c r="F62" s="35"/>
      <c r="G62" s="85" t="n">
        <v>125</v>
      </c>
      <c r="H62" s="35"/>
      <c r="I62" s="74" t="s">
        <v>230</v>
      </c>
      <c r="J62" s="74" t="s">
        <v>233</v>
      </c>
    </row>
    <row r="63" customFormat="false" ht="18" hidden="false" customHeight="true" outlineLevel="0" collapsed="false">
      <c r="A63" s="83" t="s">
        <v>235</v>
      </c>
      <c r="B63" s="83" t="s">
        <v>89</v>
      </c>
      <c r="C63" s="84" t="n">
        <v>379</v>
      </c>
      <c r="D63" s="35"/>
      <c r="E63" s="84" t="n">
        <v>379</v>
      </c>
      <c r="F63" s="35"/>
      <c r="G63" s="84" t="n">
        <v>379</v>
      </c>
      <c r="H63" s="35"/>
      <c r="I63" s="83" t="s">
        <v>124</v>
      </c>
      <c r="J63" s="83" t="s">
        <v>238</v>
      </c>
    </row>
    <row r="64" customFormat="false" ht="18" hidden="false" customHeight="true" outlineLevel="0" collapsed="false">
      <c r="A64" s="74" t="s">
        <v>239</v>
      </c>
      <c r="B64" s="74" t="s">
        <v>89</v>
      </c>
      <c r="C64" s="85" t="n">
        <v>49</v>
      </c>
      <c r="D64" s="35"/>
      <c r="E64" s="85" t="n">
        <v>49</v>
      </c>
      <c r="F64" s="35"/>
      <c r="G64" s="85" t="n">
        <v>49</v>
      </c>
      <c r="H64" s="35"/>
      <c r="I64" s="74" t="s">
        <v>124</v>
      </c>
      <c r="J64" s="74" t="s">
        <v>240</v>
      </c>
    </row>
    <row r="65" customFormat="false" ht="18" hidden="false" customHeight="true" outlineLevel="0" collapsed="false">
      <c r="A65" s="83" t="s">
        <v>241</v>
      </c>
      <c r="B65" s="83" t="s">
        <v>89</v>
      </c>
      <c r="C65" s="84" t="n">
        <v>153</v>
      </c>
      <c r="D65" s="35"/>
      <c r="E65" s="84" t="n">
        <v>153</v>
      </c>
      <c r="F65" s="35"/>
      <c r="G65" s="84" t="n">
        <v>153</v>
      </c>
      <c r="H65" s="35"/>
      <c r="I65" s="83" t="s">
        <v>124</v>
      </c>
      <c r="J65" s="83" t="s">
        <v>243</v>
      </c>
    </row>
    <row r="66" customFormat="false" ht="18" hidden="false" customHeight="true" outlineLevel="0" collapsed="false">
      <c r="A66" s="74" t="s">
        <v>244</v>
      </c>
      <c r="B66" s="74" t="s">
        <v>84</v>
      </c>
      <c r="C66" s="85" t="n">
        <v>310</v>
      </c>
      <c r="D66" s="35"/>
      <c r="E66" s="85" t="n">
        <v>310</v>
      </c>
      <c r="F66" s="35"/>
      <c r="G66" s="85" t="n">
        <v>310</v>
      </c>
      <c r="H66" s="35"/>
      <c r="I66" s="74" t="s">
        <v>124</v>
      </c>
      <c r="J66" s="74"/>
    </row>
    <row r="67" customFormat="false" ht="18" hidden="false" customHeight="true" outlineLevel="0" collapsed="false">
      <c r="A67" s="83" t="s">
        <v>246</v>
      </c>
      <c r="B67" s="83" t="s">
        <v>84</v>
      </c>
      <c r="C67" s="84" t="n">
        <v>300</v>
      </c>
      <c r="D67" s="35"/>
      <c r="E67" s="84" t="n">
        <v>300</v>
      </c>
      <c r="F67" s="35"/>
      <c r="G67" s="84" t="n">
        <v>300</v>
      </c>
      <c r="H67" s="35"/>
      <c r="I67" s="83" t="s">
        <v>124</v>
      </c>
      <c r="J67" s="83"/>
    </row>
    <row r="68" customFormat="false" ht="18" hidden="false" customHeight="true" outlineLevel="0" collapsed="false">
      <c r="A68" s="74" t="s">
        <v>247</v>
      </c>
      <c r="B68" s="74" t="s">
        <v>84</v>
      </c>
      <c r="C68" s="85" t="n">
        <v>30.47</v>
      </c>
      <c r="D68" s="35"/>
      <c r="E68" s="85" t="n">
        <v>30.47</v>
      </c>
      <c r="F68" s="35"/>
      <c r="G68" s="85" t="n">
        <v>30.47</v>
      </c>
      <c r="H68" s="35"/>
      <c r="I68" s="74" t="s">
        <v>124</v>
      </c>
      <c r="J68" s="74"/>
    </row>
    <row r="69" customFormat="false" ht="18" hidden="false" customHeight="true" outlineLevel="0" collapsed="false">
      <c r="A69" s="83" t="s">
        <v>249</v>
      </c>
      <c r="B69" s="83" t="s">
        <v>92</v>
      </c>
      <c r="C69" s="84" t="n">
        <v>235</v>
      </c>
      <c r="D69" s="35"/>
      <c r="E69" s="84" t="n">
        <v>235</v>
      </c>
      <c r="F69" s="35"/>
      <c r="G69" s="84" t="n">
        <v>235</v>
      </c>
      <c r="H69" s="35"/>
      <c r="I69" s="83" t="s">
        <v>230</v>
      </c>
      <c r="J69" s="83" t="s">
        <v>250</v>
      </c>
    </row>
    <row r="70" customFormat="false" ht="18" hidden="false" customHeight="true" outlineLevel="0" collapsed="false">
      <c r="A70" s="74" t="s">
        <v>251</v>
      </c>
      <c r="B70" s="74" t="s">
        <v>92</v>
      </c>
      <c r="C70" s="85" t="n">
        <v>183</v>
      </c>
      <c r="D70" s="35"/>
      <c r="E70" s="85" t="n">
        <v>183</v>
      </c>
      <c r="F70" s="35"/>
      <c r="G70" s="85" t="n">
        <v>183</v>
      </c>
      <c r="H70" s="35"/>
      <c r="I70" s="74" t="s">
        <v>124</v>
      </c>
      <c r="J70" s="74" t="s">
        <v>252</v>
      </c>
    </row>
    <row r="71" customFormat="false" ht="18" hidden="false" customHeight="true" outlineLevel="0" collapsed="false">
      <c r="A71" s="83" t="s">
        <v>254</v>
      </c>
      <c r="B71" s="83" t="s">
        <v>98</v>
      </c>
      <c r="C71" s="84" t="n">
        <v>375</v>
      </c>
      <c r="D71" s="35"/>
      <c r="E71" s="84" t="n">
        <v>375</v>
      </c>
      <c r="F71" s="35"/>
      <c r="G71" s="84" t="n">
        <v>375</v>
      </c>
      <c r="H71" s="35"/>
      <c r="I71" s="83" t="s">
        <v>230</v>
      </c>
      <c r="J71" s="83" t="s">
        <v>256</v>
      </c>
    </row>
    <row r="72" customFormat="false" ht="18" hidden="false" customHeight="true" outlineLevel="0" collapsed="false">
      <c r="A72" s="74" t="s">
        <v>257</v>
      </c>
      <c r="B72" s="74" t="s">
        <v>98</v>
      </c>
      <c r="C72" s="85" t="n">
        <v>1500</v>
      </c>
      <c r="D72" s="35"/>
      <c r="E72" s="85" t="n">
        <v>1500</v>
      </c>
      <c r="F72" s="35"/>
      <c r="G72" s="85" t="n">
        <v>1500</v>
      </c>
      <c r="H72" s="35"/>
      <c r="I72" s="74" t="s">
        <v>124</v>
      </c>
      <c r="J72" s="74" t="s">
        <v>259</v>
      </c>
    </row>
    <row r="73" customFormat="false" ht="18" hidden="false" customHeight="true" outlineLevel="0" collapsed="false">
      <c r="A73" s="83" t="s">
        <v>260</v>
      </c>
      <c r="B73" s="83" t="s">
        <v>98</v>
      </c>
      <c r="C73" s="84" t="n">
        <v>100</v>
      </c>
      <c r="D73" s="35"/>
      <c r="E73" s="84" t="n">
        <v>100</v>
      </c>
      <c r="F73" s="35"/>
      <c r="G73" s="84" t="n">
        <v>100</v>
      </c>
      <c r="H73" s="35"/>
      <c r="I73" s="83" t="s">
        <v>124</v>
      </c>
      <c r="J73" s="83"/>
    </row>
    <row r="74" customFormat="false" ht="18" hidden="false" customHeight="true" outlineLevel="0" collapsed="false">
      <c r="A74" s="74" t="s">
        <v>262</v>
      </c>
      <c r="B74" s="74" t="s">
        <v>96</v>
      </c>
      <c r="C74" s="85" t="n">
        <v>500</v>
      </c>
      <c r="D74" s="35"/>
      <c r="E74" s="85" t="n">
        <v>500</v>
      </c>
      <c r="F74" s="35"/>
      <c r="G74" s="85" t="n">
        <v>500</v>
      </c>
      <c r="H74" s="35"/>
      <c r="I74" s="74" t="s">
        <v>230</v>
      </c>
      <c r="J74" s="74" t="s">
        <v>263</v>
      </c>
    </row>
    <row r="75" customFormat="false" ht="18" hidden="false" customHeight="true" outlineLevel="0" collapsed="false">
      <c r="A75" s="83" t="s">
        <v>265</v>
      </c>
      <c r="B75" s="83" t="s">
        <v>100</v>
      </c>
      <c r="C75" s="84" t="n">
        <v>185</v>
      </c>
      <c r="D75" s="35"/>
      <c r="E75" s="84" t="n">
        <v>185</v>
      </c>
      <c r="F75" s="35"/>
      <c r="G75" s="84" t="n">
        <v>185</v>
      </c>
      <c r="H75" s="35"/>
      <c r="I75" s="83" t="s">
        <v>230</v>
      </c>
      <c r="J75" s="83" t="s">
        <v>266</v>
      </c>
    </row>
    <row r="76" customFormat="false" ht="18" hidden="false" customHeight="true" outlineLevel="0" collapsed="false">
      <c r="A76" s="74" t="s">
        <v>267</v>
      </c>
      <c r="B76" s="74" t="s">
        <v>100</v>
      </c>
      <c r="C76" s="85" t="n">
        <v>500</v>
      </c>
      <c r="D76" s="35"/>
      <c r="E76" s="85" t="n">
        <v>500</v>
      </c>
      <c r="F76" s="35"/>
      <c r="G76" s="85" t="n">
        <v>500</v>
      </c>
      <c r="H76" s="35"/>
      <c r="I76" s="74" t="s">
        <v>230</v>
      </c>
      <c r="J76" s="74" t="s">
        <v>268</v>
      </c>
    </row>
    <row r="77" customFormat="false" ht="18" hidden="false" customHeight="true" outlineLevel="0" collapsed="false">
      <c r="A77" s="83" t="s">
        <v>270</v>
      </c>
      <c r="B77" s="83" t="s">
        <v>94</v>
      </c>
      <c r="C77" s="84" t="n">
        <v>27</v>
      </c>
      <c r="D77" s="35"/>
      <c r="E77" s="84" t="n">
        <v>27</v>
      </c>
      <c r="F77" s="35"/>
      <c r="G77" s="84" t="n">
        <v>27</v>
      </c>
      <c r="H77" s="35"/>
      <c r="I77" s="83" t="s">
        <v>124</v>
      </c>
      <c r="J77" s="83"/>
    </row>
    <row r="78" customFormat="false" ht="18" hidden="false" customHeight="true" outlineLevel="0" collapsed="false">
      <c r="A78" s="74" t="s">
        <v>271</v>
      </c>
      <c r="B78" s="74" t="s">
        <v>94</v>
      </c>
      <c r="C78" s="85" t="n">
        <v>38</v>
      </c>
      <c r="D78" s="35"/>
      <c r="E78" s="85" t="n">
        <v>38</v>
      </c>
      <c r="F78" s="35"/>
      <c r="G78" s="85" t="n">
        <v>38</v>
      </c>
      <c r="H78" s="35"/>
      <c r="I78" s="74" t="s">
        <v>124</v>
      </c>
      <c r="J78" s="74"/>
    </row>
    <row r="79" customFormat="false" ht="18" hidden="false" customHeight="true" outlineLevel="0" collapsed="false">
      <c r="A79" s="83" t="s">
        <v>272</v>
      </c>
      <c r="B79" s="83" t="s">
        <v>94</v>
      </c>
      <c r="C79" s="84" t="n">
        <v>25</v>
      </c>
      <c r="D79" s="35"/>
      <c r="E79" s="84" t="n">
        <v>25</v>
      </c>
      <c r="F79" s="35"/>
      <c r="G79" s="84" t="n">
        <v>25</v>
      </c>
      <c r="H79" s="35"/>
      <c r="I79" s="83" t="s">
        <v>124</v>
      </c>
      <c r="J79" s="83"/>
    </row>
    <row r="80" customFormat="false" ht="18" hidden="false" customHeight="true" outlineLevel="0" collapsed="false">
      <c r="A80" s="74" t="s">
        <v>274</v>
      </c>
      <c r="B80" s="74" t="s">
        <v>102</v>
      </c>
      <c r="C80" s="85" t="n">
        <v>170</v>
      </c>
      <c r="D80" s="35"/>
      <c r="E80" s="85" t="n">
        <v>170</v>
      </c>
      <c r="F80" s="35"/>
      <c r="G80" s="85" t="n">
        <v>170</v>
      </c>
      <c r="H80" s="35"/>
      <c r="I80" s="74" t="s">
        <v>124</v>
      </c>
      <c r="J80" s="74"/>
    </row>
    <row r="82" customFormat="false" ht="24" hidden="false" customHeight="true" outlineLevel="0" collapsed="false">
      <c r="A82" s="46" t="s">
        <v>364</v>
      </c>
      <c r="B82" s="46"/>
      <c r="C82" s="47" t="n">
        <f aca="false">SUMIF(C6:C80,"&gt;0")</f>
        <v>29531.2</v>
      </c>
      <c r="D82" s="47" t="n">
        <f aca="false">SUMIF(D6:D80,"&gt;0")</f>
        <v>0</v>
      </c>
      <c r="E82" s="47" t="n">
        <f aca="false">SUMIF(E6:E80,"&gt;0")</f>
        <v>28134.2</v>
      </c>
      <c r="F82" s="47" t="n">
        <f aca="false">SUMIF(F6:F80,"&gt;0")</f>
        <v>0</v>
      </c>
      <c r="G82" s="47" t="n">
        <f aca="false">SUMIF(G6:G80,"&gt;0")</f>
        <v>28134.2</v>
      </c>
      <c r="H82" s="47" t="n">
        <f aca="false">SUMIF(H6:H80,"&gt;0")</f>
        <v>0</v>
      </c>
      <c r="I82" s="48"/>
      <c r="J82" s="48"/>
    </row>
  </sheetData>
  <mergeCells count="7">
    <mergeCell ref="A1:J1"/>
    <mergeCell ref="A2:J2"/>
    <mergeCell ref="C4:D4"/>
    <mergeCell ref="E4:F4"/>
    <mergeCell ref="G4:H4"/>
    <mergeCell ref="J4:J5"/>
    <mergeCell ref="A82:B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6" min="5" style="1" width="5"/>
  </cols>
  <sheetData>
    <row r="1" customFormat="false" ht="27.75" hidden="false" customHeight="true" outlineLevel="0" collapsed="false">
      <c r="A1" s="2" t="s">
        <v>365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56" t="s">
        <v>366</v>
      </c>
      <c r="B2" s="56"/>
      <c r="C2" s="56"/>
      <c r="D2" s="56"/>
      <c r="E2" s="56"/>
      <c r="F2" s="56"/>
      <c r="G2" s="56"/>
      <c r="H2" s="56"/>
    </row>
    <row r="4" customFormat="false" ht="24" hidden="false" customHeight="true" outlineLevel="0" collapsed="false">
      <c r="A4" s="86" t="s">
        <v>367</v>
      </c>
      <c r="B4" s="86"/>
      <c r="C4" s="86"/>
      <c r="D4" s="86"/>
      <c r="E4" s="86"/>
      <c r="F4" s="86"/>
    </row>
    <row r="5" customFormat="false" ht="30" hidden="false" customHeight="true" outlineLevel="0" collapsed="false">
      <c r="A5" s="24" t="s">
        <v>368</v>
      </c>
      <c r="B5" s="24" t="s">
        <v>38</v>
      </c>
      <c r="C5" s="24" t="s">
        <v>369</v>
      </c>
      <c r="D5" s="24" t="s">
        <v>40</v>
      </c>
      <c r="E5" s="24"/>
      <c r="F5" s="24"/>
    </row>
    <row r="6" customFormat="false" ht="18" hidden="false" customHeight="true" outlineLevel="0" collapsed="false">
      <c r="A6" s="87" t="s">
        <v>370</v>
      </c>
      <c r="B6" s="83" t="s">
        <v>371</v>
      </c>
      <c r="C6" s="83" t="s">
        <v>372</v>
      </c>
      <c r="D6" s="83" t="s">
        <v>373</v>
      </c>
      <c r="E6" s="83"/>
      <c r="F6" s="83"/>
    </row>
    <row r="7" customFormat="false" ht="18" hidden="false" customHeight="true" outlineLevel="0" collapsed="false">
      <c r="A7" s="88" t="s">
        <v>374</v>
      </c>
      <c r="B7" s="89" t="s">
        <v>371</v>
      </c>
      <c r="C7" s="89" t="s">
        <v>375</v>
      </c>
      <c r="D7" s="89" t="s">
        <v>376</v>
      </c>
      <c r="E7" s="89"/>
      <c r="F7" s="89"/>
    </row>
    <row r="8" customFormat="false" ht="18" hidden="false" customHeight="true" outlineLevel="0" collapsed="false">
      <c r="A8" s="87" t="s">
        <v>41</v>
      </c>
      <c r="B8" s="83" t="s">
        <v>377</v>
      </c>
      <c r="C8" s="83" t="s">
        <v>378</v>
      </c>
      <c r="D8" s="83" t="s">
        <v>379</v>
      </c>
      <c r="E8" s="83"/>
      <c r="F8" s="83"/>
    </row>
    <row r="9" customFormat="false" ht="18" hidden="false" customHeight="true" outlineLevel="0" collapsed="false">
      <c r="A9" s="88" t="s">
        <v>45</v>
      </c>
      <c r="B9" s="89" t="s">
        <v>377</v>
      </c>
      <c r="C9" s="89" t="s">
        <v>378</v>
      </c>
      <c r="D9" s="89" t="s">
        <v>380</v>
      </c>
      <c r="E9" s="89"/>
      <c r="F9" s="89"/>
    </row>
    <row r="10" customFormat="false" ht="18" hidden="false" customHeight="true" outlineLevel="0" collapsed="false">
      <c r="A10" s="87" t="s">
        <v>47</v>
      </c>
      <c r="B10" s="83" t="s">
        <v>377</v>
      </c>
      <c r="C10" s="83" t="s">
        <v>381</v>
      </c>
      <c r="D10" s="83"/>
      <c r="E10" s="83"/>
      <c r="F10" s="83"/>
    </row>
    <row r="11" customFormat="false" ht="18" hidden="false" customHeight="true" outlineLevel="0" collapsed="false">
      <c r="A11" s="88" t="s">
        <v>382</v>
      </c>
      <c r="B11" s="89" t="s">
        <v>377</v>
      </c>
      <c r="C11" s="89" t="s">
        <v>378</v>
      </c>
      <c r="D11" s="89" t="s">
        <v>383</v>
      </c>
      <c r="E11" s="89"/>
      <c r="F11" s="89"/>
    </row>
    <row r="12" customFormat="false" ht="18" hidden="false" customHeight="true" outlineLevel="0" collapsed="false">
      <c r="A12" s="87" t="s">
        <v>50</v>
      </c>
      <c r="B12" s="83" t="s">
        <v>384</v>
      </c>
      <c r="C12" s="83" t="s">
        <v>378</v>
      </c>
      <c r="D12" s="83" t="s">
        <v>385</v>
      </c>
      <c r="E12" s="83"/>
      <c r="F12" s="83"/>
    </row>
    <row r="13" customFormat="false" ht="18" hidden="false" customHeight="true" outlineLevel="0" collapsed="false">
      <c r="A13" s="88" t="s">
        <v>53</v>
      </c>
      <c r="B13" s="89" t="s">
        <v>384</v>
      </c>
      <c r="C13" s="89" t="s">
        <v>381</v>
      </c>
      <c r="D13" s="89" t="s">
        <v>386</v>
      </c>
      <c r="E13" s="89"/>
      <c r="F13" s="89"/>
    </row>
    <row r="14" customFormat="false" ht="18" hidden="false" customHeight="true" outlineLevel="0" collapsed="false">
      <c r="A14" s="87" t="s">
        <v>61</v>
      </c>
      <c r="B14" s="83" t="s">
        <v>377</v>
      </c>
      <c r="C14" s="83" t="s">
        <v>378</v>
      </c>
      <c r="D14" s="83" t="s">
        <v>387</v>
      </c>
      <c r="E14" s="83"/>
      <c r="F14" s="83"/>
    </row>
    <row r="15" customFormat="false" ht="18" hidden="false" customHeight="true" outlineLevel="0" collapsed="false">
      <c r="A15" s="88" t="s">
        <v>63</v>
      </c>
      <c r="B15" s="89" t="s">
        <v>388</v>
      </c>
      <c r="C15" s="89" t="s">
        <v>381</v>
      </c>
      <c r="D15" s="89" t="s">
        <v>389</v>
      </c>
      <c r="E15" s="89"/>
      <c r="F15" s="89"/>
    </row>
    <row r="16" customFormat="false" ht="18" hidden="false" customHeight="true" outlineLevel="0" collapsed="false">
      <c r="A16" s="87" t="s">
        <v>66</v>
      </c>
      <c r="B16" s="83" t="s">
        <v>388</v>
      </c>
      <c r="C16" s="83" t="s">
        <v>381</v>
      </c>
      <c r="D16" s="83" t="s">
        <v>390</v>
      </c>
      <c r="E16" s="83"/>
      <c r="F16" s="83"/>
    </row>
    <row r="17" customFormat="false" ht="18" hidden="false" customHeight="true" outlineLevel="0" collapsed="false">
      <c r="A17" s="88" t="s">
        <v>68</v>
      </c>
      <c r="B17" s="89" t="s">
        <v>377</v>
      </c>
      <c r="C17" s="89" t="s">
        <v>381</v>
      </c>
      <c r="D17" s="89" t="s">
        <v>391</v>
      </c>
      <c r="E17" s="89"/>
      <c r="F17" s="89"/>
    </row>
    <row r="18" customFormat="false" ht="18" hidden="false" customHeight="true" outlineLevel="0" collapsed="false">
      <c r="A18" s="87" t="s">
        <v>70</v>
      </c>
      <c r="B18" s="83" t="s">
        <v>392</v>
      </c>
      <c r="C18" s="83" t="s">
        <v>393</v>
      </c>
      <c r="D18" s="83" t="s">
        <v>394</v>
      </c>
      <c r="E18" s="83"/>
      <c r="F18" s="83"/>
    </row>
    <row r="19" customFormat="false" ht="18" hidden="false" customHeight="true" outlineLevel="0" collapsed="false">
      <c r="A19" s="88" t="s">
        <v>73</v>
      </c>
      <c r="B19" s="89" t="s">
        <v>377</v>
      </c>
      <c r="C19" s="89" t="s">
        <v>395</v>
      </c>
      <c r="D19" s="89" t="s">
        <v>396</v>
      </c>
      <c r="E19" s="89"/>
      <c r="F19" s="89"/>
    </row>
    <row r="20" customFormat="false" ht="18" hidden="false" customHeight="true" outlineLevel="0" collapsed="false">
      <c r="A20" s="87" t="s">
        <v>75</v>
      </c>
      <c r="B20" s="83" t="s">
        <v>384</v>
      </c>
      <c r="C20" s="83" t="s">
        <v>397</v>
      </c>
      <c r="D20" s="83" t="s">
        <v>398</v>
      </c>
      <c r="E20" s="83"/>
      <c r="F20" s="83"/>
    </row>
    <row r="21" customFormat="false" ht="18" hidden="false" customHeight="true" outlineLevel="0" collapsed="false">
      <c r="A21" s="88" t="s">
        <v>77</v>
      </c>
      <c r="B21" s="89" t="s">
        <v>377</v>
      </c>
      <c r="C21" s="89" t="s">
        <v>381</v>
      </c>
      <c r="D21" s="89" t="s">
        <v>399</v>
      </c>
      <c r="E21" s="89"/>
      <c r="F21" s="89"/>
    </row>
    <row r="22" customFormat="false" ht="18" hidden="false" customHeight="true" outlineLevel="0" collapsed="false">
      <c r="A22" s="87" t="s">
        <v>400</v>
      </c>
      <c r="B22" s="83" t="s">
        <v>377</v>
      </c>
      <c r="C22" s="83" t="s">
        <v>381</v>
      </c>
      <c r="D22" s="83" t="s">
        <v>401</v>
      </c>
      <c r="E22" s="83"/>
      <c r="F22" s="83"/>
    </row>
    <row r="23" customFormat="false" ht="18" hidden="false" customHeight="true" outlineLevel="0" collapsed="false">
      <c r="A23" s="88" t="s">
        <v>402</v>
      </c>
      <c r="B23" s="89" t="s">
        <v>403</v>
      </c>
      <c r="C23" s="89" t="s">
        <v>381</v>
      </c>
      <c r="D23" s="89" t="s">
        <v>404</v>
      </c>
      <c r="E23" s="89"/>
      <c r="F23" s="89"/>
    </row>
    <row r="24" customFormat="false" ht="18" hidden="false" customHeight="true" outlineLevel="0" collapsed="false">
      <c r="A24" s="87" t="s">
        <v>405</v>
      </c>
      <c r="B24" s="83" t="s">
        <v>403</v>
      </c>
      <c r="C24" s="83" t="s">
        <v>406</v>
      </c>
      <c r="D24" s="83"/>
      <c r="E24" s="83"/>
      <c r="F24" s="83"/>
    </row>
    <row r="25" customFormat="false" ht="18" hidden="false" customHeight="true" outlineLevel="0" collapsed="false">
      <c r="A25" s="88" t="s">
        <v>407</v>
      </c>
      <c r="B25" s="89" t="s">
        <v>403</v>
      </c>
      <c r="C25" s="89" t="s">
        <v>406</v>
      </c>
      <c r="D25" s="89"/>
      <c r="E25" s="89"/>
      <c r="F25" s="89"/>
    </row>
    <row r="27" customFormat="false" ht="24" hidden="false" customHeight="true" outlineLevel="0" collapsed="false">
      <c r="A27" s="86" t="s">
        <v>408</v>
      </c>
      <c r="B27" s="86"/>
      <c r="C27" s="86"/>
      <c r="D27" s="86"/>
      <c r="E27" s="86"/>
      <c r="F27" s="86"/>
    </row>
    <row r="28" customFormat="false" ht="30" hidden="false" customHeight="true" outlineLevel="0" collapsed="false">
      <c r="A28" s="24" t="s">
        <v>368</v>
      </c>
      <c r="B28" s="24" t="s">
        <v>38</v>
      </c>
      <c r="C28" s="24" t="s">
        <v>369</v>
      </c>
      <c r="D28" s="24" t="s">
        <v>40</v>
      </c>
      <c r="E28" s="24"/>
      <c r="F28" s="24"/>
    </row>
    <row r="29" customFormat="false" ht="18" hidden="false" customHeight="true" outlineLevel="0" collapsed="false">
      <c r="A29" s="87" t="s">
        <v>370</v>
      </c>
      <c r="B29" s="83" t="s">
        <v>371</v>
      </c>
      <c r="C29" s="83" t="s">
        <v>372</v>
      </c>
      <c r="D29" s="83"/>
      <c r="E29" s="83"/>
      <c r="F29" s="83"/>
    </row>
    <row r="30" customFormat="false" ht="18" hidden="false" customHeight="true" outlineLevel="0" collapsed="false">
      <c r="A30" s="88" t="s">
        <v>409</v>
      </c>
      <c r="B30" s="89" t="s">
        <v>371</v>
      </c>
      <c r="C30" s="89" t="s">
        <v>410</v>
      </c>
      <c r="D30" s="89" t="s">
        <v>411</v>
      </c>
      <c r="E30" s="89"/>
      <c r="F30" s="89"/>
    </row>
    <row r="31" customFormat="false" ht="18" hidden="false" customHeight="true" outlineLevel="0" collapsed="false">
      <c r="A31" s="87" t="s">
        <v>412</v>
      </c>
      <c r="B31" s="83" t="s">
        <v>377</v>
      </c>
      <c r="C31" s="83" t="s">
        <v>378</v>
      </c>
      <c r="D31" s="83"/>
      <c r="E31" s="83"/>
      <c r="F31" s="83"/>
    </row>
    <row r="32" customFormat="false" ht="18" hidden="false" customHeight="true" outlineLevel="0" collapsed="false">
      <c r="A32" s="88" t="s">
        <v>413</v>
      </c>
      <c r="B32" s="89" t="s">
        <v>377</v>
      </c>
      <c r="C32" s="89" t="s">
        <v>414</v>
      </c>
      <c r="D32" s="89"/>
      <c r="E32" s="89"/>
      <c r="F32" s="89"/>
    </row>
    <row r="33" customFormat="false" ht="18" hidden="false" customHeight="true" outlineLevel="0" collapsed="false">
      <c r="A33" s="87" t="s">
        <v>415</v>
      </c>
      <c r="B33" s="83" t="s">
        <v>377</v>
      </c>
      <c r="C33" s="83" t="s">
        <v>378</v>
      </c>
      <c r="D33" s="83" t="s">
        <v>416</v>
      </c>
      <c r="E33" s="83"/>
      <c r="F33" s="83"/>
    </row>
    <row r="34" customFormat="false" ht="18" hidden="false" customHeight="true" outlineLevel="0" collapsed="false">
      <c r="A34" s="88" t="s">
        <v>417</v>
      </c>
      <c r="B34" s="89" t="s">
        <v>392</v>
      </c>
      <c r="C34" s="89" t="s">
        <v>393</v>
      </c>
      <c r="D34" s="89"/>
      <c r="E34" s="89"/>
      <c r="F34" s="89"/>
    </row>
    <row r="35" customFormat="false" ht="18" hidden="false" customHeight="true" outlineLevel="0" collapsed="false">
      <c r="A35" s="87" t="s">
        <v>405</v>
      </c>
      <c r="B35" s="83" t="s">
        <v>403</v>
      </c>
      <c r="C35" s="83" t="s">
        <v>406</v>
      </c>
      <c r="D35" s="83"/>
      <c r="E35" s="83"/>
      <c r="F35" s="83"/>
    </row>
    <row r="37" customFormat="false" ht="24" hidden="false" customHeight="true" outlineLevel="0" collapsed="false">
      <c r="A37" s="86" t="s">
        <v>418</v>
      </c>
      <c r="B37" s="86"/>
      <c r="C37" s="86"/>
      <c r="D37" s="86"/>
      <c r="E37" s="86"/>
      <c r="F37" s="86"/>
    </row>
    <row r="38" customFormat="false" ht="30" hidden="false" customHeight="true" outlineLevel="0" collapsed="false">
      <c r="A38" s="24" t="s">
        <v>368</v>
      </c>
      <c r="B38" s="24" t="s">
        <v>38</v>
      </c>
      <c r="C38" s="24" t="s">
        <v>369</v>
      </c>
      <c r="D38" s="24" t="s">
        <v>40</v>
      </c>
      <c r="E38" s="24"/>
      <c r="F38" s="24"/>
    </row>
    <row r="39" customFormat="false" ht="18" hidden="false" customHeight="true" outlineLevel="0" collapsed="false">
      <c r="A39" s="87" t="s">
        <v>370</v>
      </c>
      <c r="B39" s="83" t="s">
        <v>371</v>
      </c>
      <c r="C39" s="83" t="s">
        <v>372</v>
      </c>
      <c r="D39" s="83"/>
      <c r="E39" s="83"/>
      <c r="F39" s="83"/>
    </row>
    <row r="40" customFormat="false" ht="18" hidden="false" customHeight="true" outlineLevel="0" collapsed="false">
      <c r="A40" s="88" t="s">
        <v>374</v>
      </c>
      <c r="B40" s="89" t="s">
        <v>371</v>
      </c>
      <c r="C40" s="89" t="s">
        <v>375</v>
      </c>
      <c r="D40" s="89"/>
      <c r="E40" s="89"/>
      <c r="F40" s="89"/>
    </row>
    <row r="41" customFormat="false" ht="18" hidden="false" customHeight="true" outlineLevel="0" collapsed="false">
      <c r="A41" s="87" t="s">
        <v>419</v>
      </c>
      <c r="B41" s="83" t="s">
        <v>371</v>
      </c>
      <c r="C41" s="83" t="s">
        <v>420</v>
      </c>
      <c r="D41" s="83"/>
      <c r="E41" s="83"/>
      <c r="F41" s="83"/>
    </row>
    <row r="42" customFormat="false" ht="18" hidden="false" customHeight="true" outlineLevel="0" collapsed="false">
      <c r="A42" s="88" t="s">
        <v>421</v>
      </c>
      <c r="B42" s="89" t="s">
        <v>377</v>
      </c>
      <c r="C42" s="89" t="s">
        <v>378</v>
      </c>
      <c r="D42" s="89" t="s">
        <v>422</v>
      </c>
      <c r="E42" s="89"/>
      <c r="F42" s="89"/>
    </row>
    <row r="43" customFormat="false" ht="18" hidden="false" customHeight="true" outlineLevel="0" collapsed="false">
      <c r="A43" s="87" t="s">
        <v>423</v>
      </c>
      <c r="B43" s="83" t="s">
        <v>377</v>
      </c>
      <c r="C43" s="83" t="s">
        <v>378</v>
      </c>
      <c r="D43" s="83" t="s">
        <v>424</v>
      </c>
      <c r="E43" s="83"/>
      <c r="F43" s="83"/>
    </row>
    <row r="44" customFormat="false" ht="18" hidden="false" customHeight="true" outlineLevel="0" collapsed="false">
      <c r="A44" s="88" t="s">
        <v>425</v>
      </c>
      <c r="B44" s="89" t="s">
        <v>392</v>
      </c>
      <c r="C44" s="89" t="s">
        <v>393</v>
      </c>
      <c r="D44" s="89"/>
      <c r="E44" s="89"/>
      <c r="F44" s="89"/>
    </row>
    <row r="45" customFormat="false" ht="18" hidden="false" customHeight="true" outlineLevel="0" collapsed="false">
      <c r="A45" s="87" t="s">
        <v>426</v>
      </c>
      <c r="B45" s="83" t="s">
        <v>403</v>
      </c>
      <c r="C45" s="83" t="s">
        <v>381</v>
      </c>
      <c r="D45" s="83"/>
      <c r="E45" s="83"/>
      <c r="F45" s="83"/>
    </row>
    <row r="46" customFormat="false" ht="18" hidden="false" customHeight="true" outlineLevel="0" collapsed="false">
      <c r="A46" s="88" t="s">
        <v>405</v>
      </c>
      <c r="B46" s="89" t="s">
        <v>403</v>
      </c>
      <c r="C46" s="89" t="s">
        <v>406</v>
      </c>
      <c r="D46" s="89"/>
      <c r="E46" s="89"/>
      <c r="F46" s="89"/>
    </row>
    <row r="48" customFormat="false" ht="24" hidden="false" customHeight="true" outlineLevel="0" collapsed="false">
      <c r="A48" s="86" t="s">
        <v>427</v>
      </c>
      <c r="B48" s="86"/>
      <c r="C48" s="86"/>
      <c r="D48" s="86"/>
      <c r="E48" s="86"/>
      <c r="F48" s="86"/>
    </row>
    <row r="49" customFormat="false" ht="30" hidden="false" customHeight="true" outlineLevel="0" collapsed="false">
      <c r="A49" s="24" t="s">
        <v>368</v>
      </c>
      <c r="B49" s="24" t="s">
        <v>38</v>
      </c>
      <c r="C49" s="24" t="s">
        <v>369</v>
      </c>
      <c r="D49" s="24" t="s">
        <v>40</v>
      </c>
      <c r="E49" s="24"/>
      <c r="F49" s="24"/>
    </row>
    <row r="50" customFormat="false" ht="18" hidden="false" customHeight="true" outlineLevel="0" collapsed="false">
      <c r="A50" s="87" t="s">
        <v>370</v>
      </c>
      <c r="B50" s="83" t="s">
        <v>371</v>
      </c>
      <c r="C50" s="83" t="s">
        <v>372</v>
      </c>
      <c r="D50" s="83"/>
      <c r="E50" s="83"/>
      <c r="F50" s="83"/>
    </row>
    <row r="51" customFormat="false" ht="18" hidden="false" customHeight="true" outlineLevel="0" collapsed="false">
      <c r="A51" s="88" t="s">
        <v>374</v>
      </c>
      <c r="B51" s="89" t="s">
        <v>371</v>
      </c>
      <c r="C51" s="89" t="s">
        <v>375</v>
      </c>
      <c r="D51" s="89"/>
      <c r="E51" s="89"/>
      <c r="F51" s="89"/>
    </row>
    <row r="52" customFormat="false" ht="18" hidden="false" customHeight="true" outlineLevel="0" collapsed="false">
      <c r="A52" s="87" t="s">
        <v>419</v>
      </c>
      <c r="B52" s="83" t="s">
        <v>371</v>
      </c>
      <c r="C52" s="83" t="s">
        <v>420</v>
      </c>
      <c r="D52" s="83"/>
      <c r="E52" s="83"/>
      <c r="F52" s="83"/>
    </row>
    <row r="53" customFormat="false" ht="18" hidden="false" customHeight="true" outlineLevel="0" collapsed="false">
      <c r="A53" s="88" t="s">
        <v>428</v>
      </c>
      <c r="B53" s="89" t="s">
        <v>429</v>
      </c>
      <c r="C53" s="89" t="s">
        <v>378</v>
      </c>
      <c r="D53" s="89"/>
      <c r="E53" s="89"/>
      <c r="F53" s="89"/>
    </row>
    <row r="54" customFormat="false" ht="18" hidden="false" customHeight="true" outlineLevel="0" collapsed="false">
      <c r="A54" s="87" t="s">
        <v>430</v>
      </c>
      <c r="B54" s="83" t="s">
        <v>384</v>
      </c>
      <c r="C54" s="83" t="s">
        <v>378</v>
      </c>
      <c r="D54" s="83"/>
      <c r="E54" s="83"/>
      <c r="F54" s="83"/>
    </row>
    <row r="55" customFormat="false" ht="18" hidden="false" customHeight="true" outlineLevel="0" collapsed="false">
      <c r="A55" s="88" t="s">
        <v>73</v>
      </c>
      <c r="B55" s="89" t="s">
        <v>377</v>
      </c>
      <c r="C55" s="89" t="s">
        <v>431</v>
      </c>
      <c r="D55" s="89" t="s">
        <v>432</v>
      </c>
      <c r="E55" s="89"/>
      <c r="F55" s="89"/>
    </row>
    <row r="56" customFormat="false" ht="18" hidden="false" customHeight="true" outlineLevel="0" collapsed="false">
      <c r="A56" s="87" t="s">
        <v>433</v>
      </c>
      <c r="B56" s="83" t="s">
        <v>371</v>
      </c>
      <c r="C56" s="83" t="s">
        <v>410</v>
      </c>
      <c r="D56" s="83" t="s">
        <v>434</v>
      </c>
      <c r="E56" s="83"/>
      <c r="F56" s="83"/>
    </row>
    <row r="57" customFormat="false" ht="18" hidden="false" customHeight="true" outlineLevel="0" collapsed="false">
      <c r="A57" s="88" t="s">
        <v>405</v>
      </c>
      <c r="B57" s="89" t="s">
        <v>403</v>
      </c>
      <c r="C57" s="89" t="s">
        <v>406</v>
      </c>
      <c r="D57" s="89"/>
      <c r="E57" s="89"/>
      <c r="F57" s="89"/>
    </row>
  </sheetData>
  <mergeCells count="53">
    <mergeCell ref="A1:H1"/>
    <mergeCell ref="A2:H2"/>
    <mergeCell ref="A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A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2026-05-28T00:53:19Z</dcterms:created>
  <dc:creator>openpyxl</dc:creator>
  <dc:description/>
  <dc:language>en-US</dc:language>
  <cp:lastModifiedBy/>
  <dcterms:modified xsi:type="dcterms:W3CDTF">2026-05-28T00:53:29Z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